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1 Model" sheetId="2" state="visible" r:id="rId2"/>
    <sheet xmlns:r="http://schemas.openxmlformats.org/officeDocument/2006/relationships" name="2 Look first" sheetId="3" state="visible" r:id="rId3"/>
    <sheet xmlns:r="http://schemas.openxmlformats.org/officeDocument/2006/relationships" name="3 Preview" sheetId="4" state="visible" r:id="rId4"/>
    <sheet xmlns:r="http://schemas.openxmlformats.org/officeDocument/2006/relationships" name="4 Test" sheetId="5" state="visible" r:id="rId5"/>
    <sheet xmlns:r="http://schemas.openxmlformats.org/officeDocument/2006/relationships" name="5 Cost" sheetId="6" state="visible" r:id="rId6"/>
    <sheet xmlns:r="http://schemas.openxmlformats.org/officeDocument/2006/relationships" name="6 Score" sheetId="7" state="visible" r:id="rId7"/>
    <sheet xmlns:r="http://schemas.openxmlformats.org/officeDocument/2006/relationships" name="BTC daily"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AF1F25"/>
    </font>
    <font>
      <color rgb="00363636"/>
    </font>
    <font>
      <b val="1"/>
      <color rgb="00363636"/>
    </font>
  </fonts>
  <fills count="4">
    <fill>
      <patternFill/>
    </fill>
    <fill>
      <patternFill patternType="gray125"/>
    </fill>
    <fill>
      <patternFill patternType="solid">
        <fgColor rgb="00CDBA80"/>
      </patternFill>
    </fill>
    <fill>
      <patternFill patternType="solid">
        <fgColor rgb="00EEEE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Midterm — Coinbase's third quarter, read by you and an AI</t>
        </is>
      </c>
    </row>
    <row r="2">
      <c r="A2" s="2" t="inlineStr">
        <is>
          <t>AI for Business and FinTech · ESE Florence · 40% of the final mark</t>
        </is>
      </c>
    </row>
    <row r="3">
      <c r="A3" s="2" t="inlineStr"/>
    </row>
    <row r="4">
      <c r="A4" s="2" t="inlineStr">
        <is>
          <t>One tab per step. Fill them in order; the brief is on the course site (week 5 ▸ Midterm).</t>
        </is>
      </c>
    </row>
    <row r="5">
      <c r="A5" s="2" t="inlineStr">
        <is>
          <t>1 Model — the model you use, read from its model card.</t>
        </is>
      </c>
    </row>
    <row r="6">
      <c r="A6" s="2" t="inlineStr">
        <is>
          <t>2 Look first — Coinbase's last five quarters next to the BTC price, before any prediction.</t>
        </is>
      </c>
    </row>
    <row r="7">
      <c r="A7" s="3" t="inlineStr">
        <is>
          <t>3 Preview — five predictions for Q3 2026. Fill BEFORE Thursday 29 October, 21:00 Italian time.</t>
        </is>
      </c>
    </row>
    <row r="8">
      <c r="A8" s="2" t="inlineStr">
        <is>
          <t>4 Test — ten questions on the Q3 document with answers found by hand, three traps, the temperature test.</t>
        </is>
      </c>
    </row>
    <row r="9">
      <c r="A9" s="2" t="inlineStr">
        <is>
          <t>5 Cost — what one answer and one analyst note cost, and what they are worth.</t>
        </is>
      </c>
    </row>
    <row r="10">
      <c r="A10" s="2" t="inlineStr">
        <is>
          <t>6 Score — your predictions against the actual Q3 numbers and against 'Q3 = Q2'.</t>
        </is>
      </c>
    </row>
    <row r="11">
      <c r="A11" s="2" t="inlineStr">
        <is>
          <t>BTC daily — Bitcoin daily closes in USD, 1 Jan 2025 – 25 Oct 2026 (Yahoo Finance, BTC-USD). Do not edit.</t>
        </is>
      </c>
    </row>
    <row r="12">
      <c r="A12" s="2" t="inlineStr"/>
    </row>
    <row r="13">
      <c r="A13" s="2" t="inlineStr">
        <is>
          <t>Grey cells with a formula fill themselves. Every other number is yours: write where you found it.</t>
        </is>
      </c>
    </row>
    <row r="14">
      <c r="A14" s="2" t="inlineStr">
        <is>
          <t>Upload: File ▸ Download ▸ Microsoft Excel (.xlsx), to Turnitin Midterm Submission by Tuesday 3 November, 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8" customWidth="1" min="1" max="1"/>
    <col width="34" customWidth="1" min="2" max="2"/>
    <col width="50" customWidth="1" min="3" max="3"/>
  </cols>
  <sheetData>
    <row r="1">
      <c r="A1" s="4" t="inlineStr">
        <is>
          <t>Item</t>
        </is>
      </c>
      <c r="B1" s="4" t="inlineStr">
        <is>
          <t>My answer</t>
        </is>
      </c>
      <c r="C1" s="4" t="inlineStr">
        <is>
          <t>Where I read it (link, section)</t>
        </is>
      </c>
    </row>
    <row r="2">
      <c r="A2" s="5" t="inlineStr">
        <is>
          <t>Model I use in AI Studio</t>
        </is>
      </c>
      <c r="B2" s="5" t="n"/>
      <c r="C2" s="5" t="n"/>
    </row>
    <row r="3">
      <c r="A3" s="5" t="inlineStr">
        <is>
          <t>Model card or release page</t>
        </is>
      </c>
      <c r="B3" s="5" t="n"/>
      <c r="C3" s="5" t="n"/>
    </row>
    <row r="4">
      <c r="A4" s="5" t="inlineStr">
        <is>
          <t>Context window (input tokens)</t>
        </is>
      </c>
      <c r="B4" s="5" t="n"/>
      <c r="C4" s="5" t="n"/>
    </row>
    <row r="5">
      <c r="A5" s="5" t="inlineStr">
        <is>
          <t>Longest answer (output tokens)</t>
        </is>
      </c>
      <c r="B5" s="5" t="n"/>
      <c r="C5" s="5" t="n"/>
    </row>
    <row r="6">
      <c r="A6" s="5" t="inlineStr">
        <is>
          <t>Knowledge cutoff</t>
        </is>
      </c>
      <c r="B6" s="5" t="n"/>
      <c r="C6" s="5" t="n"/>
    </row>
    <row r="7">
      <c r="A7" s="5" t="inlineStr">
        <is>
          <t>Input price per 1M tokens ($)</t>
        </is>
      </c>
      <c r="B7" s="5" t="n"/>
      <c r="C7" s="5" t="n"/>
    </row>
    <row r="8">
      <c r="A8" s="5" t="inlineStr">
        <is>
          <t>Output price per 1M tokens ($)</t>
        </is>
      </c>
      <c r="B8" s="5" t="n"/>
      <c r="C8" s="5" t="n"/>
    </row>
    <row r="9">
      <c r="A9" s="5" t="inlineStr">
        <is>
          <t>Tokens in my documents (AI Studio token counter, all files attached)</t>
        </is>
      </c>
      <c r="B9" s="5" t="n"/>
      <c r="C9" s="5" t="n"/>
    </row>
    <row r="10">
      <c r="A10" s="5" t="inlineStr">
        <is>
          <t>Do they fit in the context window?</t>
        </is>
      </c>
      <c r="B10" s="6">
        <f>IF(OR(B4="",B9=""),"",IF(B9&lt;=B4,"yes","no"))</f>
        <v/>
      </c>
      <c r="C10" s="5" t="inlineStr">
        <is>
          <t>formula</t>
        </is>
      </c>
    </row>
    <row r="11">
      <c r="A11" s="5" t="inlineStr">
        <is>
          <t>Which of my documents can the model have seen in training, and so what? (one line)</t>
        </is>
      </c>
      <c r="B11" s="5" t="n"/>
      <c r="C11"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2" customWidth="1" min="3" max="3"/>
    <col width="14" customWidth="1" min="4" max="4"/>
    <col width="16" customWidth="1" min="5" max="5"/>
    <col width="18" customWidth="1" min="6" max="6"/>
    <col width="34" customWidth="1" min="7" max="7"/>
    <col width="14" customWidth="1" min="8" max="8"/>
    <col width="16" customWidth="1" min="9" max="9"/>
  </cols>
  <sheetData>
    <row r="1" ht="45" customHeight="1">
      <c r="A1" s="7" t="inlineStr">
        <is>
          <t>Fill the revenue columns from the documents in your notebook, then check each number by hand against the slide or page. Then: Insert ▸ Chart, revenue and BTC side by side. What moves with what?</t>
        </is>
      </c>
    </row>
    <row r="2"/>
    <row r="3">
      <c r="A3" s="4" t="inlineStr">
        <is>
          <t>Quarter</t>
        </is>
      </c>
      <c r="B3" s="4" t="inlineStr">
        <is>
          <t>From</t>
        </is>
      </c>
      <c r="C3" s="4" t="inlineStr">
        <is>
          <t>To</t>
        </is>
      </c>
      <c r="D3" s="4" t="inlineStr">
        <is>
          <t>Total revenue ($M)</t>
        </is>
      </c>
      <c r="E3" s="4" t="inlineStr">
        <is>
          <t>Transaction revenue ($M)</t>
        </is>
      </c>
      <c r="F3" s="4" t="inlineStr">
        <is>
          <t>Subscription &amp; services revenue ($M)</t>
        </is>
      </c>
      <c r="G3" s="4" t="inlineStr">
        <is>
          <t>Where found (document, slide or page)</t>
        </is>
      </c>
      <c r="H3" s="4" t="inlineStr">
        <is>
          <t>Checked by hand? (yes/no)</t>
        </is>
      </c>
      <c r="I3" s="4" t="inlineStr">
        <is>
          <t>BTC average close ($)</t>
        </is>
      </c>
    </row>
    <row r="4">
      <c r="A4" s="5" t="inlineStr">
        <is>
          <t>Q2 2025</t>
        </is>
      </c>
      <c r="B4" s="8" t="n">
        <v>45748</v>
      </c>
      <c r="C4" s="8" t="n">
        <v>45838</v>
      </c>
      <c r="D4" s="5" t="n"/>
      <c r="E4" s="5" t="n"/>
      <c r="F4" s="5" t="n"/>
      <c r="G4" s="5" t="n"/>
      <c r="H4" s="5" t="n"/>
      <c r="I4" s="6">
        <f>ROUND(AVERAGEIFS('BTC daily'!$B:$B,'BTC daily'!$A:$A,"&gt;="&amp;B4,'BTC daily'!$A:$A,"&lt;="&amp;C4),0)</f>
        <v/>
      </c>
    </row>
    <row r="5">
      <c r="A5" s="5" t="inlineStr">
        <is>
          <t>Q3 2025</t>
        </is>
      </c>
      <c r="B5" s="8" t="n">
        <v>45839</v>
      </c>
      <c r="C5" s="8" t="n">
        <v>45930</v>
      </c>
      <c r="D5" s="5" t="n"/>
      <c r="E5" s="5" t="n"/>
      <c r="F5" s="5" t="n"/>
      <c r="G5" s="5" t="n"/>
      <c r="H5" s="5" t="n"/>
      <c r="I5" s="6">
        <f>ROUND(AVERAGEIFS('BTC daily'!$B:$B,'BTC daily'!$A:$A,"&gt;="&amp;B5,'BTC daily'!$A:$A,"&lt;="&amp;C5),0)</f>
        <v/>
      </c>
    </row>
    <row r="6">
      <c r="A6" s="5" t="inlineStr">
        <is>
          <t>Q4 2025</t>
        </is>
      </c>
      <c r="B6" s="8" t="n">
        <v>45931</v>
      </c>
      <c r="C6" s="8" t="n">
        <v>46022</v>
      </c>
      <c r="D6" s="5" t="n"/>
      <c r="E6" s="5" t="n"/>
      <c r="F6" s="5" t="n"/>
      <c r="G6" s="5" t="n"/>
      <c r="H6" s="5" t="n"/>
      <c r="I6" s="6">
        <f>ROUND(AVERAGEIFS('BTC daily'!$B:$B,'BTC daily'!$A:$A,"&gt;="&amp;B6,'BTC daily'!$A:$A,"&lt;="&amp;C6),0)</f>
        <v/>
      </c>
    </row>
    <row r="7">
      <c r="A7" s="5" t="inlineStr">
        <is>
          <t>Q1 2026</t>
        </is>
      </c>
      <c r="B7" s="8" t="n">
        <v>46023</v>
      </c>
      <c r="C7" s="8" t="n">
        <v>46112</v>
      </c>
      <c r="D7" s="5" t="n"/>
      <c r="E7" s="5" t="n"/>
      <c r="F7" s="5" t="n"/>
      <c r="G7" s="5" t="n"/>
      <c r="H7" s="5" t="n"/>
      <c r="I7" s="6">
        <f>ROUND(AVERAGEIFS('BTC daily'!$B:$B,'BTC daily'!$A:$A,"&gt;="&amp;B7,'BTC daily'!$A:$A,"&lt;="&amp;C7),0)</f>
        <v/>
      </c>
    </row>
    <row r="8">
      <c r="A8" s="5" t="inlineStr">
        <is>
          <t>Q2 2026</t>
        </is>
      </c>
      <c r="B8" s="8" t="n">
        <v>46113</v>
      </c>
      <c r="C8" s="8" t="n">
        <v>46203</v>
      </c>
      <c r="D8" s="5" t="n"/>
      <c r="E8" s="5" t="n"/>
      <c r="F8" s="5" t="n"/>
      <c r="G8" s="5" t="n"/>
      <c r="H8" s="5" t="n"/>
      <c r="I8" s="6">
        <f>ROUND(AVERAGEIFS('BTC daily'!$B:$B,'BTC daily'!$A:$A,"&gt;="&amp;B8,'BTC daily'!$A:$A,"&lt;="&amp;C8),0)</f>
        <v/>
      </c>
    </row>
    <row r="9">
      <c r="A9" s="5" t="inlineStr">
        <is>
          <t>Q3 2026</t>
        </is>
      </c>
      <c r="B9" s="8" t="n">
        <v>46204</v>
      </c>
      <c r="C9" s="8" t="n">
        <v>46295</v>
      </c>
      <c r="D9" s="5" t="inlineStr">
        <is>
          <t>after 29 Oct</t>
        </is>
      </c>
      <c r="E9" s="5" t="inlineStr">
        <is>
          <t>after 29 Oct</t>
        </is>
      </c>
      <c r="F9" s="5" t="inlineStr">
        <is>
          <t>after 29 Oct</t>
        </is>
      </c>
      <c r="G9" s="5" t="n"/>
      <c r="H9" s="5" t="n"/>
      <c r="I9" s="6">
        <f>ROUND(AVERAGEIFS('BTC daily'!$B:$B,'BTC daily'!$A:$A,"&gt;="&amp;B9,'BTC daily'!$A:$A,"&lt;="&amp;C9),0)</f>
        <v/>
      </c>
    </row>
    <row r="10">
      <c r="A10" s="5" t="n"/>
      <c r="B10" s="5" t="n"/>
      <c r="C10" s="5" t="n"/>
      <c r="D10" s="5" t="n"/>
      <c r="E10" s="5" t="n"/>
      <c r="F10" s="5" t="n"/>
      <c r="G10" s="5" t="n"/>
      <c r="H10" s="5" t="n"/>
      <c r="I10" s="5" t="n"/>
    </row>
    <row r="11">
      <c r="A11" s="5" t="inlineStr">
        <is>
          <t>What I see (two lines):</t>
        </is>
      </c>
      <c r="B11" s="5" t="n"/>
      <c r="C11" s="5" t="n"/>
      <c r="D11" s="5" t="n"/>
      <c r="E11" s="5" t="n"/>
      <c r="F11" s="5" t="n"/>
      <c r="G11" s="5" t="n"/>
      <c r="H11" s="5" t="n"/>
      <c r="I11" s="5"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18" customWidth="1" min="3" max="3"/>
    <col width="14" customWidth="1" min="4" max="4"/>
    <col width="20" customWidth="1" min="5" max="5"/>
    <col width="34" customWidth="1" min="6" max="6"/>
    <col width="12" customWidth="1" min="7" max="7"/>
    <col width="40" customWidth="1" min="8" max="8"/>
  </cols>
  <sheetData>
    <row r="1" ht="45" customHeight="1">
      <c r="A1" s="7" t="inlineStr">
        <is>
          <t>Fill this tab BEFORE Thursday 29 October, 21:00 Italian time, when Coinbase publishes. Google Sheets keeps the version history (File ▸ Version history): that is the proof it came first.</t>
        </is>
      </c>
    </row>
    <row r="2"/>
    <row r="3">
      <c r="A3" s="4" t="inlineStr">
        <is>
          <t>#</t>
        </is>
      </c>
      <c r="B3" s="4" t="inlineStr">
        <is>
          <t>What I predict for Q3 2026</t>
        </is>
      </c>
      <c r="C3" s="4" t="inlineStr">
        <is>
          <t>My number (one number; for a range, the midpoint)</t>
        </is>
      </c>
      <c r="D3" s="4" t="inlineStr">
        <is>
          <t>Naive: Q3 = Q2</t>
        </is>
      </c>
      <c r="E3" s="4" t="inlineStr">
        <is>
          <t>Coinbase's own Q3 outlook, if it gave one</t>
        </is>
      </c>
      <c r="F3" s="4" t="inlineStr">
        <is>
          <t>Where my number comes from (document, slide)</t>
        </is>
      </c>
      <c r="G3" s="4" t="inlineStr">
        <is>
          <t>Confidence (0–100)</t>
        </is>
      </c>
      <c r="H3" s="4" t="inlineStr">
        <is>
          <t>Why, in one line</t>
        </is>
      </c>
    </row>
    <row r="4">
      <c r="A4" s="5" t="inlineStr">
        <is>
          <t>P1</t>
        </is>
      </c>
      <c r="B4" s="5" t="inlineStr">
        <is>
          <t>Total revenue ($M)</t>
        </is>
      </c>
      <c r="C4" s="5" t="n"/>
      <c r="D4" s="6">
        <f>IF('2 Look first'!D8="","",'2 Look first'!D8)</f>
        <v/>
      </c>
      <c r="E4" s="5" t="n"/>
      <c r="F4" s="5" t="n"/>
      <c r="G4" s="5" t="n"/>
      <c r="H4" s="5" t="n"/>
    </row>
    <row r="5">
      <c r="A5" s="5" t="inlineStr">
        <is>
          <t>P2</t>
        </is>
      </c>
      <c r="B5" s="5" t="inlineStr">
        <is>
          <t>Transaction revenue ($M)</t>
        </is>
      </c>
      <c r="C5" s="5" t="n"/>
      <c r="D5" s="6">
        <f>IF('2 Look first'!E8="","",'2 Look first'!E8)</f>
        <v/>
      </c>
      <c r="E5" s="5" t="n"/>
      <c r="F5" s="5" t="n"/>
      <c r="G5" s="5" t="n"/>
      <c r="H5" s="5" t="n"/>
    </row>
    <row r="6">
      <c r="A6" s="5" t="inlineStr">
        <is>
          <t>P3</t>
        </is>
      </c>
      <c r="B6" s="5" t="inlineStr">
        <is>
          <t>Subscription &amp; services revenue ($M)</t>
        </is>
      </c>
      <c r="C6" s="5" t="n"/>
      <c r="D6" s="6">
        <f>IF('2 Look first'!F8="","",'2 Look first'!F8)</f>
        <v/>
      </c>
      <c r="E6" s="5" t="n"/>
      <c r="F6" s="5" t="n"/>
      <c r="G6" s="5" t="n"/>
      <c r="H6" s="5" t="n"/>
    </row>
    <row r="7">
      <c r="A7" s="5" t="inlineStr">
        <is>
          <t>P4</t>
        </is>
      </c>
      <c r="B7" s="5" t="inlineStr">
        <is>
          <t>(your choice)</t>
        </is>
      </c>
      <c r="C7" s="5" t="n"/>
      <c r="D7" s="5" t="n"/>
      <c r="E7" s="5" t="n"/>
      <c r="F7" s="5" t="n"/>
      <c r="G7" s="5" t="n"/>
      <c r="H7" s="5" t="n"/>
    </row>
    <row r="8">
      <c r="A8" s="5" t="inlineStr">
        <is>
          <t>P5</t>
        </is>
      </c>
      <c r="B8" s="5" t="inlineStr">
        <is>
          <t>(your choice)</t>
        </is>
      </c>
      <c r="C8" s="5" t="n"/>
      <c r="D8" s="5" t="n"/>
      <c r="E8" s="5" t="n"/>
      <c r="F8" s="5" t="n"/>
      <c r="G8" s="5" t="n"/>
      <c r="H8" s="5" t="n"/>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7" customWidth="1" min="1" max="1"/>
    <col width="50" customWidth="1" min="2" max="2"/>
    <col width="22" customWidth="1" min="3" max="3"/>
    <col width="26" customWidth="1" min="4" max="4"/>
    <col width="30" customWidth="1" min="5" max="5"/>
    <col width="12" customWidth="1" min="6" max="6"/>
    <col width="12" customWidth="1" min="7" max="7"/>
    <col width="12" customWidth="1" min="8" max="8"/>
    <col width="36" customWidth="1" min="9" max="9"/>
  </cols>
  <sheetData>
    <row r="1" ht="45" customHeight="1">
      <c r="A1" s="7" t="inlineStr">
        <is>
          <t>Same method as Homework 4. Write each question and find its answer by hand in the Q3 document BEFORE asking the notebook. An expected answer copied from the tool makes the row worthless.</t>
        </is>
      </c>
    </row>
    <row r="2"/>
    <row r="3">
      <c r="A3" s="4" t="inlineStr">
        <is>
          <t>id</t>
        </is>
      </c>
      <c r="B3" s="4" t="inlineStr">
        <is>
          <t>question</t>
        </is>
      </c>
      <c r="C3" s="4" t="inlineStr">
        <is>
          <t>expected_answer</t>
        </is>
      </c>
      <c r="D3" s="4" t="inlineStr">
        <is>
          <t>where_found</t>
        </is>
      </c>
      <c r="E3" s="4" t="inlineStr">
        <is>
          <t>answer_from_tool</t>
        </is>
      </c>
      <c r="F3" s="4" t="inlineStr">
        <is>
          <t>citation_correct</t>
        </is>
      </c>
      <c r="G3" s="4" t="inlineStr">
        <is>
          <t>retrieval_hit</t>
        </is>
      </c>
      <c r="H3" s="4" t="inlineStr">
        <is>
          <t>generation_hit</t>
        </is>
      </c>
      <c r="I3" s="4" t="inlineStr">
        <is>
          <t>note (retrieval / generation / memory, and why)</t>
        </is>
      </c>
    </row>
    <row r="4">
      <c r="A4" s="5" t="inlineStr">
        <is>
          <t>G1</t>
        </is>
      </c>
      <c r="B4" s="5" t="n"/>
      <c r="C4" s="5" t="n"/>
      <c r="D4" s="5" t="n"/>
      <c r="E4" s="5" t="n"/>
      <c r="F4" s="5" t="n"/>
      <c r="G4" s="5" t="n"/>
      <c r="H4" s="5" t="n"/>
      <c r="I4" s="5" t="n"/>
    </row>
    <row r="5">
      <c r="A5" s="5" t="inlineStr">
        <is>
          <t>G2</t>
        </is>
      </c>
      <c r="B5" s="5" t="n"/>
      <c r="C5" s="5" t="n"/>
      <c r="D5" s="5" t="n"/>
      <c r="E5" s="5" t="n"/>
      <c r="F5" s="5" t="n"/>
      <c r="G5" s="5" t="n"/>
      <c r="H5" s="5" t="n"/>
      <c r="I5" s="5" t="n"/>
    </row>
    <row r="6">
      <c r="A6" s="5" t="inlineStr">
        <is>
          <t>G3</t>
        </is>
      </c>
      <c r="B6" s="5" t="n"/>
      <c r="C6" s="5" t="n"/>
      <c r="D6" s="5" t="n"/>
      <c r="E6" s="5" t="n"/>
      <c r="F6" s="5" t="n"/>
      <c r="G6" s="5" t="n"/>
      <c r="H6" s="5" t="n"/>
      <c r="I6" s="5" t="n"/>
    </row>
    <row r="7">
      <c r="A7" s="5" t="inlineStr">
        <is>
          <t>G4</t>
        </is>
      </c>
      <c r="B7" s="5" t="n"/>
      <c r="C7" s="5" t="n"/>
      <c r="D7" s="5" t="n"/>
      <c r="E7" s="5" t="n"/>
      <c r="F7" s="5" t="n"/>
      <c r="G7" s="5" t="n"/>
      <c r="H7" s="5" t="n"/>
      <c r="I7" s="5" t="n"/>
    </row>
    <row r="8">
      <c r="A8" s="5" t="inlineStr">
        <is>
          <t>G5</t>
        </is>
      </c>
      <c r="B8" s="5" t="n"/>
      <c r="C8" s="5" t="n"/>
      <c r="D8" s="5" t="n"/>
      <c r="E8" s="5" t="n"/>
      <c r="F8" s="5" t="n"/>
      <c r="G8" s="5" t="n"/>
      <c r="H8" s="5" t="n"/>
      <c r="I8" s="5" t="n"/>
    </row>
    <row r="9">
      <c r="A9" s="5" t="inlineStr">
        <is>
          <t>G6</t>
        </is>
      </c>
      <c r="B9" s="5" t="n"/>
      <c r="C9" s="5" t="n"/>
      <c r="D9" s="5" t="n"/>
      <c r="E9" s="5" t="n"/>
      <c r="F9" s="5" t="n"/>
      <c r="G9" s="5" t="n"/>
      <c r="H9" s="5" t="n"/>
      <c r="I9" s="5" t="n"/>
    </row>
    <row r="10">
      <c r="A10" s="5" t="inlineStr">
        <is>
          <t>G7</t>
        </is>
      </c>
      <c r="B10" s="5" t="n"/>
      <c r="C10" s="5" t="n"/>
      <c r="D10" s="5" t="n"/>
      <c r="E10" s="5" t="n"/>
      <c r="F10" s="5" t="n"/>
      <c r="G10" s="5" t="n"/>
      <c r="H10" s="5" t="n"/>
      <c r="I10" s="5" t="n"/>
    </row>
    <row r="11">
      <c r="A11" s="5" t="inlineStr">
        <is>
          <t>G8</t>
        </is>
      </c>
      <c r="B11" s="5" t="n"/>
      <c r="C11" s="5" t="n"/>
      <c r="D11" s="5" t="n"/>
      <c r="E11" s="5" t="n"/>
      <c r="F11" s="5" t="n"/>
      <c r="G11" s="5" t="n"/>
      <c r="H11" s="5" t="n"/>
      <c r="I11" s="5" t="n"/>
    </row>
    <row r="12">
      <c r="A12" s="5" t="inlineStr">
        <is>
          <t>G9</t>
        </is>
      </c>
      <c r="B12" s="5" t="n"/>
      <c r="C12" s="5" t="n"/>
      <c r="D12" s="5" t="n"/>
      <c r="E12" s="5" t="n"/>
      <c r="F12" s="5" t="n"/>
      <c r="G12" s="5" t="n"/>
      <c r="H12" s="5" t="n"/>
      <c r="I12" s="5" t="n"/>
    </row>
    <row r="13">
      <c r="A13" s="5" t="inlineStr">
        <is>
          <t>G10</t>
        </is>
      </c>
      <c r="B13" s="5" t="n"/>
      <c r="C13" s="5" t="n"/>
      <c r="D13" s="5" t="n"/>
      <c r="E13" s="5" t="n"/>
      <c r="F13" s="5" t="n"/>
      <c r="G13" s="5" t="n"/>
      <c r="H13" s="5" t="n"/>
      <c r="I13" s="5" t="n"/>
    </row>
    <row r="14">
      <c r="A14" s="5" t="inlineStr">
        <is>
          <t>T1</t>
        </is>
      </c>
      <c r="B14" s="5" t="inlineStr">
        <is>
          <t>No documents (AI Studio, no files, Google Search off): What was Coinbase's total revenue in Q3 2026?</t>
        </is>
      </c>
      <c r="C14" s="5" t="n"/>
      <c r="D14" s="5" t="n"/>
      <c r="E14" s="5" t="n"/>
      <c r="F14" s="5" t="n"/>
      <c r="G14" s="5" t="n"/>
      <c r="H14" s="5" t="n"/>
      <c r="I14" s="5" t="n"/>
    </row>
    <row r="15">
      <c r="A15" s="5" t="inlineStr">
        <is>
          <t>T2</t>
        </is>
      </c>
      <c r="B15" s="5" t="inlineStr">
        <is>
          <t>(a question that needs two documents, e.g. the Q3 result against the Q2 outlook)</t>
        </is>
      </c>
      <c r="C15" s="5" t="n"/>
      <c r="D15" s="5" t="n"/>
      <c r="E15" s="5" t="n"/>
      <c r="F15" s="5" t="n"/>
      <c r="G15" s="5" t="n"/>
      <c r="H15" s="5" t="n"/>
      <c r="I15" s="5" t="n"/>
    </row>
    <row r="16">
      <c r="A16" s="5" t="inlineStr">
        <is>
          <t>T3</t>
        </is>
      </c>
      <c r="B16" s="5" t="inlineStr">
        <is>
          <t>(your own trap; say in 'note' what it tests)</t>
        </is>
      </c>
      <c r="C16" s="5" t="n"/>
      <c r="D16" s="5" t="n"/>
      <c r="E16" s="5" t="n"/>
      <c r="F16" s="5" t="n"/>
      <c r="G16" s="5" t="n"/>
      <c r="H16" s="5" t="n"/>
      <c r="I16" s="5" t="n"/>
    </row>
    <row r="17">
      <c r="A17" s="5" t="n"/>
      <c r="B17" s="5" t="n"/>
      <c r="C17" s="5" t="n"/>
      <c r="D17" s="5" t="n"/>
      <c r="E17" s="5" t="n"/>
      <c r="F17" s="5" t="n"/>
      <c r="G17" s="5" t="n"/>
      <c r="H17" s="5" t="n"/>
      <c r="I17" s="5" t="n"/>
    </row>
    <row r="18">
      <c r="A18" s="5" t="inlineStr">
        <is>
          <t>TEMP</t>
        </is>
      </c>
      <c r="B18" s="5" t="inlineStr">
        <is>
          <t>Temperature test — one question of yours, asked three times at temperature 0 and three at the highest the panel allows. Write the six numbers in 'answer_from_tool', separated by ' / '. Did the number move?</t>
        </is>
      </c>
      <c r="C18" s="5" t="n"/>
      <c r="D18" s="5" t="n"/>
      <c r="E18" s="5" t="n"/>
      <c r="F18" s="5" t="n"/>
      <c r="G18" s="5" t="n"/>
      <c r="H18" s="5" t="n"/>
      <c r="I18" s="5" t="n"/>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40" customWidth="1" min="3" max="3"/>
  </cols>
  <sheetData>
    <row r="1">
      <c r="A1" s="4" t="inlineStr">
        <is>
          <t>Item</t>
        </is>
      </c>
      <c r="B1" s="4" t="inlineStr">
        <is>
          <t>Value</t>
        </is>
      </c>
      <c r="C1" s="4" t="inlineStr">
        <is>
          <t>How I got it (or: estimate)</t>
        </is>
      </c>
    </row>
    <row r="2">
      <c r="A2" s="5" t="inlineStr">
        <is>
          <t>Input price per 1M tokens ($)</t>
        </is>
      </c>
      <c r="B2" s="6">
        <f>IF('1 Model'!B7="","",'1 Model'!B7)</f>
        <v/>
      </c>
      <c r="C2" s="5" t="inlineStr">
        <is>
          <t>from tab 1</t>
        </is>
      </c>
    </row>
    <row r="3">
      <c r="A3" s="5" t="inlineStr">
        <is>
          <t>Output price per 1M tokens ($)</t>
        </is>
      </c>
      <c r="B3" s="6">
        <f>IF('1 Model'!B8="","",'1 Model'!B8)</f>
        <v/>
      </c>
      <c r="C3" s="5" t="inlineStr">
        <is>
          <t>from tab 1</t>
        </is>
      </c>
    </row>
    <row r="4">
      <c r="A4" s="5" t="inlineStr">
        <is>
          <t>Tokens sent with one question (AI Studio counter, documents attached)</t>
        </is>
      </c>
      <c r="B4" s="5" t="n"/>
      <c r="C4" s="5" t="n"/>
    </row>
    <row r="5">
      <c r="A5" s="5" t="inlineStr">
        <is>
          <t>Tokens in one answer</t>
        </is>
      </c>
      <c r="B5" s="5" t="n"/>
      <c r="C5" s="5" t="n"/>
    </row>
    <row r="6">
      <c r="A6" s="5" t="inlineStr">
        <is>
          <t>Cost of one question ($)</t>
        </is>
      </c>
      <c r="B6" s="6">
        <f>IF(OR(B4="",B5=""),"",(B4*B2+B5*B3)/1000000)</f>
        <v/>
      </c>
      <c r="C6" s="5" t="inlineStr">
        <is>
          <t>formula</t>
        </is>
      </c>
    </row>
    <row r="7">
      <c r="A7" s="5" t="inlineStr">
        <is>
          <t>Questions behind one analyst note</t>
        </is>
      </c>
      <c r="B7" s="5" t="n"/>
      <c r="C7" s="5" t="inlineStr">
        <is>
          <t>estimate</t>
        </is>
      </c>
    </row>
    <row r="8">
      <c r="A8" s="5" t="inlineStr">
        <is>
          <t>Cost of one note ($)</t>
        </is>
      </c>
      <c r="B8" s="6">
        <f>IF(OR(B6="",B7=""),"",B6*B7)</f>
        <v/>
      </c>
      <c r="C8" s="5" t="inlineStr">
        <is>
          <t>formula</t>
        </is>
      </c>
    </row>
    <row r="9">
      <c r="A9" s="5" t="inlineStr">
        <is>
          <t>Analyst's cost per hour ($)</t>
        </is>
      </c>
      <c r="B9" s="5" t="n"/>
      <c r="C9" s="5" t="inlineStr">
        <is>
          <t>estimate — say from where</t>
        </is>
      </c>
    </row>
    <row r="10">
      <c r="A10" s="5" t="inlineStr">
        <is>
          <t>Hours the notebook saves on one note</t>
        </is>
      </c>
      <c r="B10" s="5" t="n"/>
      <c r="C10" s="5" t="inlineStr">
        <is>
          <t>estimate</t>
        </is>
      </c>
    </row>
    <row r="11">
      <c r="A11" s="5" t="inlineStr">
        <is>
          <t>Value of one note ($)</t>
        </is>
      </c>
      <c r="B11" s="6">
        <f>IF(OR(B9="",B10=""),"",B9*B10)</f>
        <v/>
      </c>
      <c r="C11" s="5" t="inlineStr">
        <is>
          <t>formula</t>
        </is>
      </c>
    </row>
    <row r="12">
      <c r="A12" s="5" t="inlineStr">
        <is>
          <t>Notes per month for one desk</t>
        </is>
      </c>
      <c r="B12" s="5" t="n"/>
      <c r="C12" s="5" t="inlineStr">
        <is>
          <t>estimate</t>
        </is>
      </c>
    </row>
    <row r="13">
      <c r="A13" s="5" t="inlineStr">
        <is>
          <t>Price I would ask a desk per month ($)</t>
        </is>
      </c>
      <c r="B13" s="5" t="n"/>
      <c r="C13" s="5" t="n"/>
    </row>
    <row r="14">
      <c r="A14" s="5" t="inlineStr">
        <is>
          <t>What is left per month after the tokens ($)</t>
        </is>
      </c>
      <c r="B14" s="6">
        <f>IF(OR(B8="",B12="",B13=""),"",B13-B8*B12)</f>
        <v/>
      </c>
      <c r="C14" s="5" t="inlineStr">
        <is>
          <t>formula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4" customWidth="1" min="3" max="3"/>
    <col width="14" customWidth="1" min="4" max="4"/>
    <col width="14" customWidth="1" min="5" max="5"/>
    <col width="34" customWidth="1" min="6" max="6"/>
    <col width="12" customWidth="1" min="7" max="7"/>
    <col width="12" customWidth="1" min="8" max="8"/>
    <col width="10" customWidth="1" min="9" max="9"/>
  </cols>
  <sheetData>
    <row r="1">
      <c r="A1" s="4" t="inlineStr">
        <is>
          <t>#</t>
        </is>
      </c>
      <c r="B1" s="4" t="inlineStr">
        <is>
          <t>Prediction</t>
        </is>
      </c>
      <c r="C1" s="4" t="inlineStr">
        <is>
          <t>My number</t>
        </is>
      </c>
      <c r="D1" s="4" t="inlineStr">
        <is>
          <t>Naive: Q3 = Q2</t>
        </is>
      </c>
      <c r="E1" s="4" t="inlineStr">
        <is>
          <t>Actual Q3 2026</t>
        </is>
      </c>
      <c r="F1" s="4" t="inlineStr">
        <is>
          <t>Where found (Q3 document, slide)</t>
        </is>
      </c>
      <c r="G1" s="4" t="inlineStr">
        <is>
          <t>My error</t>
        </is>
      </c>
      <c r="H1" s="4" t="inlineStr">
        <is>
          <t>Naive error</t>
        </is>
      </c>
      <c r="I1" s="4" t="inlineStr">
        <is>
          <t>Closer</t>
        </is>
      </c>
    </row>
    <row r="2">
      <c r="A2" s="5" t="inlineStr">
        <is>
          <t>P1</t>
        </is>
      </c>
      <c r="B2" s="6">
        <f>IF('3 Preview'!B4="","",'3 Preview'!B4)</f>
        <v/>
      </c>
      <c r="C2" s="6">
        <f>IF('3 Preview'!C4="","",'3 Preview'!C4)</f>
        <v/>
      </c>
      <c r="D2" s="6">
        <f>IF('3 Preview'!D4="","",'3 Preview'!D4)</f>
        <v/>
      </c>
      <c r="E2" s="5" t="n"/>
      <c r="F2" s="5" t="n"/>
      <c r="G2" s="6">
        <f>IF(OR(C2="",E2=""),"",ABS(C2-E2))</f>
        <v/>
      </c>
      <c r="H2" s="6">
        <f>IF(OR(D2="",E2=""),"",ABS(D2-E2))</f>
        <v/>
      </c>
      <c r="I2" s="6">
        <f>IF(OR(G2="",H2=""),"",IF(G2&lt;H2,"me",IF(G2&gt;H2,"naive","tie")))</f>
        <v/>
      </c>
    </row>
    <row r="3">
      <c r="A3" s="5" t="inlineStr">
        <is>
          <t>P2</t>
        </is>
      </c>
      <c r="B3" s="6">
        <f>IF('3 Preview'!B5="","",'3 Preview'!B5)</f>
        <v/>
      </c>
      <c r="C3" s="6">
        <f>IF('3 Preview'!C5="","",'3 Preview'!C5)</f>
        <v/>
      </c>
      <c r="D3" s="6">
        <f>IF('3 Preview'!D5="","",'3 Preview'!D5)</f>
        <v/>
      </c>
      <c r="E3" s="5" t="n"/>
      <c r="F3" s="5" t="n"/>
      <c r="G3" s="6">
        <f>IF(OR(C3="",E3=""),"",ABS(C3-E3))</f>
        <v/>
      </c>
      <c r="H3" s="6">
        <f>IF(OR(D3="",E3=""),"",ABS(D3-E3))</f>
        <v/>
      </c>
      <c r="I3" s="6">
        <f>IF(OR(G3="",H3=""),"",IF(G3&lt;H3,"me",IF(G3&gt;H3,"naive","tie")))</f>
        <v/>
      </c>
    </row>
    <row r="4">
      <c r="A4" s="5" t="inlineStr">
        <is>
          <t>P3</t>
        </is>
      </c>
      <c r="B4" s="6">
        <f>IF('3 Preview'!B6="","",'3 Preview'!B6)</f>
        <v/>
      </c>
      <c r="C4" s="6">
        <f>IF('3 Preview'!C6="","",'3 Preview'!C6)</f>
        <v/>
      </c>
      <c r="D4" s="6">
        <f>IF('3 Preview'!D6="","",'3 Preview'!D6)</f>
        <v/>
      </c>
      <c r="E4" s="5" t="n"/>
      <c r="F4" s="5" t="n"/>
      <c r="G4" s="6">
        <f>IF(OR(C4="",E4=""),"",ABS(C4-E4))</f>
        <v/>
      </c>
      <c r="H4" s="6">
        <f>IF(OR(D4="",E4=""),"",ABS(D4-E4))</f>
        <v/>
      </c>
      <c r="I4" s="6">
        <f>IF(OR(G4="",H4=""),"",IF(G4&lt;H4,"me",IF(G4&gt;H4,"naive","tie")))</f>
        <v/>
      </c>
    </row>
    <row r="5">
      <c r="A5" s="5" t="inlineStr">
        <is>
          <t>P4</t>
        </is>
      </c>
      <c r="B5" s="6">
        <f>IF('3 Preview'!B7="","",'3 Preview'!B7)</f>
        <v/>
      </c>
      <c r="C5" s="6">
        <f>IF('3 Preview'!C7="","",'3 Preview'!C7)</f>
        <v/>
      </c>
      <c r="D5" s="6">
        <f>IF('3 Preview'!D7="","",'3 Preview'!D7)</f>
        <v/>
      </c>
      <c r="E5" s="5" t="n"/>
      <c r="F5" s="5" t="n"/>
      <c r="G5" s="6">
        <f>IF(OR(C5="",E5=""),"",ABS(C5-E5))</f>
        <v/>
      </c>
      <c r="H5" s="6">
        <f>IF(OR(D5="",E5=""),"",ABS(D5-E5))</f>
        <v/>
      </c>
      <c r="I5" s="6">
        <f>IF(OR(G5="",H5=""),"",IF(G5&lt;H5,"me",IF(G5&gt;H5,"naive","tie")))</f>
        <v/>
      </c>
    </row>
    <row r="6">
      <c r="A6" s="5" t="inlineStr">
        <is>
          <t>P5</t>
        </is>
      </c>
      <c r="B6" s="6">
        <f>IF('3 Preview'!B8="","",'3 Preview'!B8)</f>
        <v/>
      </c>
      <c r="C6" s="6">
        <f>IF('3 Preview'!C8="","",'3 Preview'!C8)</f>
        <v/>
      </c>
      <c r="D6" s="6">
        <f>IF('3 Preview'!D8="","",'3 Preview'!D8)</f>
        <v/>
      </c>
      <c r="E6" s="5" t="n"/>
      <c r="F6" s="5" t="n"/>
      <c r="G6" s="6">
        <f>IF(OR(C6="",E6=""),"",ABS(C6-E6))</f>
        <v/>
      </c>
      <c r="H6" s="6">
        <f>IF(OR(D6="",E6=""),"",ABS(D6-E6))</f>
        <v/>
      </c>
      <c r="I6" s="6">
        <f>IF(OR(G6="",H6=""),"",IF(G6&lt;H6,"me",IF(G6&gt;H6,"naive","tie")))</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64"/>
  <sheetViews>
    <sheetView workbookViewId="0">
      <selection activeCell="A1" sqref="A1"/>
    </sheetView>
  </sheetViews>
  <sheetFormatPr baseColWidth="8" defaultRowHeight="15"/>
  <cols>
    <col width="12" customWidth="1" min="1" max="1"/>
  </cols>
  <sheetData>
    <row r="1">
      <c r="A1" t="inlineStr">
        <is>
          <t>Date</t>
        </is>
      </c>
      <c r="B1" t="inlineStr">
        <is>
          <t>close</t>
        </is>
      </c>
    </row>
    <row r="2">
      <c r="A2" s="9" t="n">
        <v>45658</v>
      </c>
      <c r="B2" t="n">
        <v>94419.75780000001</v>
      </c>
    </row>
    <row r="3">
      <c r="A3" s="9" t="n">
        <v>45659</v>
      </c>
      <c r="B3" t="n">
        <v>96886.875</v>
      </c>
    </row>
    <row r="4">
      <c r="A4" s="9" t="n">
        <v>45660</v>
      </c>
      <c r="B4" t="n">
        <v>98107.42969999999</v>
      </c>
    </row>
    <row r="5">
      <c r="A5" s="9" t="n">
        <v>45661</v>
      </c>
      <c r="B5" t="n">
        <v>98236.22659999999</v>
      </c>
    </row>
    <row r="6">
      <c r="A6" s="9" t="n">
        <v>45662</v>
      </c>
      <c r="B6" t="n">
        <v>98314.96090000001</v>
      </c>
    </row>
    <row r="7">
      <c r="A7" s="9" t="n">
        <v>45663</v>
      </c>
      <c r="B7" t="n">
        <v>102078.0859</v>
      </c>
    </row>
    <row r="8">
      <c r="A8" s="9" t="n">
        <v>45664</v>
      </c>
      <c r="B8" t="n">
        <v>96922.7031</v>
      </c>
    </row>
    <row r="9">
      <c r="A9" s="9" t="n">
        <v>45665</v>
      </c>
      <c r="B9" t="n">
        <v>95043.52340000001</v>
      </c>
    </row>
    <row r="10">
      <c r="A10" s="9" t="n">
        <v>45666</v>
      </c>
      <c r="B10" t="n">
        <v>92484.03909999999</v>
      </c>
    </row>
    <row r="11">
      <c r="A11" s="9" t="n">
        <v>45667</v>
      </c>
      <c r="B11" t="n">
        <v>94701.4531</v>
      </c>
    </row>
    <row r="12">
      <c r="A12" s="9" t="n">
        <v>45668</v>
      </c>
      <c r="B12" t="n">
        <v>94566.5938</v>
      </c>
    </row>
    <row r="13">
      <c r="A13" s="9" t="n">
        <v>45669</v>
      </c>
      <c r="B13" t="n">
        <v>94488.4375</v>
      </c>
    </row>
    <row r="14">
      <c r="A14" s="9" t="n">
        <v>45670</v>
      </c>
      <c r="B14" t="n">
        <v>94516.52340000001</v>
      </c>
    </row>
    <row r="15">
      <c r="A15" s="9" t="n">
        <v>45671</v>
      </c>
      <c r="B15" t="n">
        <v>96534.0469</v>
      </c>
    </row>
    <row r="16">
      <c r="A16" s="9" t="n">
        <v>45672</v>
      </c>
      <c r="B16" t="n">
        <v>100504.4922</v>
      </c>
    </row>
    <row r="17">
      <c r="A17" s="9" t="n">
        <v>45673</v>
      </c>
      <c r="B17" t="n">
        <v>99756.9062</v>
      </c>
    </row>
    <row r="18">
      <c r="A18" s="9" t="n">
        <v>45674</v>
      </c>
      <c r="B18" t="n">
        <v>104462.0391</v>
      </c>
    </row>
    <row r="19">
      <c r="A19" s="9" t="n">
        <v>45675</v>
      </c>
      <c r="B19" t="n">
        <v>104408.0703</v>
      </c>
    </row>
    <row r="20">
      <c r="A20" s="9" t="n">
        <v>45676</v>
      </c>
      <c r="B20" t="n">
        <v>101089.6094</v>
      </c>
    </row>
    <row r="21">
      <c r="A21" s="9" t="n">
        <v>45677</v>
      </c>
      <c r="B21" t="n">
        <v>102016.6641</v>
      </c>
    </row>
    <row r="22">
      <c r="A22" s="9" t="n">
        <v>45678</v>
      </c>
      <c r="B22" t="n">
        <v>106146.2656</v>
      </c>
    </row>
    <row r="23">
      <c r="A23" s="9" t="n">
        <v>45679</v>
      </c>
      <c r="B23" t="n">
        <v>103653.0703</v>
      </c>
    </row>
    <row r="24">
      <c r="A24" s="9" t="n">
        <v>45680</v>
      </c>
      <c r="B24" t="n">
        <v>103960.1719</v>
      </c>
    </row>
    <row r="25">
      <c r="A25" s="9" t="n">
        <v>45681</v>
      </c>
      <c r="B25" t="n">
        <v>104819.4844</v>
      </c>
    </row>
    <row r="26">
      <c r="A26" s="9" t="n">
        <v>45682</v>
      </c>
      <c r="B26" t="n">
        <v>104714.6484</v>
      </c>
    </row>
    <row r="27">
      <c r="A27" s="9" t="n">
        <v>45683</v>
      </c>
      <c r="B27" t="n">
        <v>102682.5</v>
      </c>
    </row>
    <row r="28">
      <c r="A28" s="9" t="n">
        <v>45684</v>
      </c>
      <c r="B28" t="n">
        <v>102087.6875</v>
      </c>
    </row>
    <row r="29">
      <c r="A29" s="9" t="n">
        <v>45685</v>
      </c>
      <c r="B29" t="n">
        <v>101332.4766</v>
      </c>
    </row>
    <row r="30">
      <c r="A30" s="9" t="n">
        <v>45686</v>
      </c>
      <c r="B30" t="n">
        <v>103703.2109</v>
      </c>
    </row>
    <row r="31">
      <c r="A31" s="9" t="n">
        <v>45687</v>
      </c>
      <c r="B31" t="n">
        <v>104735.3047</v>
      </c>
    </row>
    <row r="32">
      <c r="A32" s="9" t="n">
        <v>45688</v>
      </c>
      <c r="B32" t="n">
        <v>102405.0234</v>
      </c>
    </row>
    <row r="33">
      <c r="A33" s="9" t="n">
        <v>45689</v>
      </c>
      <c r="B33" t="n">
        <v>100655.9062</v>
      </c>
    </row>
    <row r="34">
      <c r="A34" s="9" t="n">
        <v>45690</v>
      </c>
      <c r="B34" t="n">
        <v>97688.97659999999</v>
      </c>
    </row>
    <row r="35">
      <c r="A35" s="9" t="n">
        <v>45691</v>
      </c>
      <c r="B35" t="n">
        <v>101405.4219</v>
      </c>
    </row>
    <row r="36">
      <c r="A36" s="9" t="n">
        <v>45692</v>
      </c>
      <c r="B36" t="n">
        <v>97871.82030000001</v>
      </c>
    </row>
    <row r="37">
      <c r="A37" s="9" t="n">
        <v>45693</v>
      </c>
      <c r="B37" t="n">
        <v>96615.44530000001</v>
      </c>
    </row>
    <row r="38">
      <c r="A38" s="9" t="n">
        <v>45694</v>
      </c>
      <c r="B38" t="n">
        <v>96593.2969</v>
      </c>
    </row>
    <row r="39">
      <c r="A39" s="9" t="n">
        <v>45695</v>
      </c>
      <c r="B39" t="n">
        <v>96529.08590000001</v>
      </c>
    </row>
    <row r="40">
      <c r="A40" s="9" t="n">
        <v>45696</v>
      </c>
      <c r="B40" t="n">
        <v>96482.4531</v>
      </c>
    </row>
    <row r="41">
      <c r="A41" s="9" t="n">
        <v>45697</v>
      </c>
      <c r="B41" t="n">
        <v>96500.0938</v>
      </c>
    </row>
    <row r="42">
      <c r="A42" s="9" t="n">
        <v>45698</v>
      </c>
      <c r="B42" t="n">
        <v>97437.55469999999</v>
      </c>
    </row>
    <row r="43">
      <c r="A43" s="9" t="n">
        <v>45699</v>
      </c>
      <c r="B43" t="n">
        <v>95747.42969999999</v>
      </c>
    </row>
    <row r="44">
      <c r="A44" s="9" t="n">
        <v>45700</v>
      </c>
      <c r="B44" t="n">
        <v>97885.8594</v>
      </c>
    </row>
    <row r="45">
      <c r="A45" s="9" t="n">
        <v>45701</v>
      </c>
      <c r="B45" t="n">
        <v>96623.86719999999</v>
      </c>
    </row>
    <row r="46">
      <c r="A46" s="9" t="n">
        <v>45702</v>
      </c>
      <c r="B46" t="n">
        <v>97508.9688</v>
      </c>
    </row>
    <row r="47">
      <c r="A47" s="9" t="n">
        <v>45703</v>
      </c>
      <c r="B47" t="n">
        <v>97580.35159999999</v>
      </c>
    </row>
    <row r="48">
      <c r="A48" s="9" t="n">
        <v>45704</v>
      </c>
      <c r="B48" t="n">
        <v>96175.0312</v>
      </c>
    </row>
    <row r="49">
      <c r="A49" s="9" t="n">
        <v>45705</v>
      </c>
      <c r="B49" t="n">
        <v>95773.38280000001</v>
      </c>
    </row>
    <row r="50">
      <c r="A50" s="9" t="n">
        <v>45706</v>
      </c>
      <c r="B50" t="n">
        <v>95539.5469</v>
      </c>
    </row>
    <row r="51">
      <c r="A51" s="9" t="n">
        <v>45707</v>
      </c>
      <c r="B51" t="n">
        <v>96635.6094</v>
      </c>
    </row>
    <row r="52">
      <c r="A52" s="9" t="n">
        <v>45708</v>
      </c>
      <c r="B52" t="n">
        <v>98333.9375</v>
      </c>
    </row>
    <row r="53">
      <c r="A53" s="9" t="n">
        <v>45709</v>
      </c>
      <c r="B53" t="n">
        <v>96125.5469</v>
      </c>
    </row>
    <row r="54">
      <c r="A54" s="9" t="n">
        <v>45710</v>
      </c>
      <c r="B54" t="n">
        <v>96577.75780000001</v>
      </c>
    </row>
    <row r="55">
      <c r="A55" s="9" t="n">
        <v>45711</v>
      </c>
      <c r="B55" t="n">
        <v>96273.9219</v>
      </c>
    </row>
    <row r="56">
      <c r="A56" s="9" t="n">
        <v>45712</v>
      </c>
      <c r="B56" t="n">
        <v>91418.1719</v>
      </c>
    </row>
    <row r="57">
      <c r="A57" s="9" t="n">
        <v>45713</v>
      </c>
      <c r="B57" t="n">
        <v>88736.1719</v>
      </c>
    </row>
    <row r="58">
      <c r="A58" s="9" t="n">
        <v>45714</v>
      </c>
      <c r="B58" t="n">
        <v>84347.02340000001</v>
      </c>
    </row>
    <row r="59">
      <c r="A59" s="9" t="n">
        <v>45715</v>
      </c>
      <c r="B59" t="n">
        <v>84704.22659999999</v>
      </c>
    </row>
    <row r="60">
      <c r="A60" s="9" t="n">
        <v>45716</v>
      </c>
      <c r="B60" t="n">
        <v>84373.00780000001</v>
      </c>
    </row>
    <row r="61">
      <c r="A61" s="9" t="n">
        <v>45717</v>
      </c>
      <c r="B61" t="n">
        <v>86031.91409999999</v>
      </c>
    </row>
    <row r="62">
      <c r="A62" s="9" t="n">
        <v>45718</v>
      </c>
      <c r="B62" t="n">
        <v>94248.35159999999</v>
      </c>
    </row>
    <row r="63">
      <c r="A63" s="9" t="n">
        <v>45719</v>
      </c>
      <c r="B63" t="n">
        <v>86065.6719</v>
      </c>
    </row>
    <row r="64">
      <c r="A64" s="9" t="n">
        <v>45720</v>
      </c>
      <c r="B64" t="n">
        <v>87222.19530000001</v>
      </c>
    </row>
    <row r="65">
      <c r="A65" s="9" t="n">
        <v>45721</v>
      </c>
      <c r="B65" t="n">
        <v>90623.5625</v>
      </c>
    </row>
    <row r="66">
      <c r="A66" s="9" t="n">
        <v>45722</v>
      </c>
      <c r="B66" t="n">
        <v>89961.72659999999</v>
      </c>
    </row>
    <row r="67">
      <c r="A67" s="9" t="n">
        <v>45723</v>
      </c>
      <c r="B67" t="n">
        <v>86742.6719</v>
      </c>
    </row>
    <row r="68">
      <c r="A68" s="9" t="n">
        <v>45724</v>
      </c>
      <c r="B68" t="n">
        <v>86154.5938</v>
      </c>
    </row>
    <row r="69">
      <c r="A69" s="9" t="n">
        <v>45725</v>
      </c>
      <c r="B69" t="n">
        <v>80601.03909999999</v>
      </c>
    </row>
    <row r="70">
      <c r="A70" s="9" t="n">
        <v>45726</v>
      </c>
      <c r="B70" t="n">
        <v>78532</v>
      </c>
    </row>
    <row r="71">
      <c r="A71" s="9" t="n">
        <v>45727</v>
      </c>
      <c r="B71" t="n">
        <v>82862.21090000001</v>
      </c>
    </row>
    <row r="72">
      <c r="A72" s="9" t="n">
        <v>45728</v>
      </c>
      <c r="B72" t="n">
        <v>83722.3594</v>
      </c>
    </row>
    <row r="73">
      <c r="A73" s="9" t="n">
        <v>45729</v>
      </c>
      <c r="B73" t="n">
        <v>81066.7031</v>
      </c>
    </row>
    <row r="74">
      <c r="A74" s="9" t="n">
        <v>45730</v>
      </c>
      <c r="B74" t="n">
        <v>83969.10159999999</v>
      </c>
    </row>
    <row r="75">
      <c r="A75" s="9" t="n">
        <v>45731</v>
      </c>
      <c r="B75" t="n">
        <v>84343.1094</v>
      </c>
    </row>
    <row r="76">
      <c r="A76" s="9" t="n">
        <v>45732</v>
      </c>
      <c r="B76" t="n">
        <v>82579.6875</v>
      </c>
    </row>
    <row r="77">
      <c r="A77" s="9" t="n">
        <v>45733</v>
      </c>
      <c r="B77" t="n">
        <v>84075.6875</v>
      </c>
    </row>
    <row r="78">
      <c r="A78" s="9" t="n">
        <v>45734</v>
      </c>
      <c r="B78" t="n">
        <v>82718.5</v>
      </c>
    </row>
    <row r="79">
      <c r="A79" s="9" t="n">
        <v>45735</v>
      </c>
      <c r="B79" t="n">
        <v>86854.22659999999</v>
      </c>
    </row>
    <row r="80">
      <c r="A80" s="9" t="n">
        <v>45736</v>
      </c>
      <c r="B80" t="n">
        <v>84167.19530000001</v>
      </c>
    </row>
    <row r="81">
      <c r="A81" s="9" t="n">
        <v>45737</v>
      </c>
      <c r="B81" t="n">
        <v>84043.24219999999</v>
      </c>
    </row>
    <row r="82">
      <c r="A82" s="9" t="n">
        <v>45738</v>
      </c>
      <c r="B82" t="n">
        <v>83832.4844</v>
      </c>
    </row>
    <row r="83">
      <c r="A83" s="9" t="n">
        <v>45739</v>
      </c>
      <c r="B83" t="n">
        <v>86054.375</v>
      </c>
    </row>
    <row r="84">
      <c r="A84" s="9" t="n">
        <v>45740</v>
      </c>
      <c r="B84" t="n">
        <v>87498.91409999999</v>
      </c>
    </row>
    <row r="85">
      <c r="A85" s="9" t="n">
        <v>45741</v>
      </c>
      <c r="B85" t="n">
        <v>87471.7031</v>
      </c>
    </row>
    <row r="86">
      <c r="A86" s="9" t="n">
        <v>45742</v>
      </c>
      <c r="B86" t="n">
        <v>86900.88280000001</v>
      </c>
    </row>
    <row r="87">
      <c r="A87" s="9" t="n">
        <v>45743</v>
      </c>
      <c r="B87" t="n">
        <v>87177.10159999999</v>
      </c>
    </row>
    <row r="88">
      <c r="A88" s="9" t="n">
        <v>45744</v>
      </c>
      <c r="B88" t="n">
        <v>84353.14840000001</v>
      </c>
    </row>
    <row r="89">
      <c r="A89" s="9" t="n">
        <v>45745</v>
      </c>
      <c r="B89" t="n">
        <v>82597.58590000001</v>
      </c>
    </row>
    <row r="90">
      <c r="A90" s="9" t="n">
        <v>45746</v>
      </c>
      <c r="B90" t="n">
        <v>82334.52340000001</v>
      </c>
    </row>
    <row r="91">
      <c r="A91" s="9" t="n">
        <v>45747</v>
      </c>
      <c r="B91" t="n">
        <v>82548.91409999999</v>
      </c>
    </row>
    <row r="92">
      <c r="A92" s="9" t="n">
        <v>45748</v>
      </c>
      <c r="B92" t="n">
        <v>85169.1719</v>
      </c>
    </row>
    <row r="93">
      <c r="A93" s="9" t="n">
        <v>45749</v>
      </c>
      <c r="B93" t="n">
        <v>82485.71090000001</v>
      </c>
    </row>
    <row r="94">
      <c r="A94" s="9" t="n">
        <v>45750</v>
      </c>
      <c r="B94" t="n">
        <v>83102.8281</v>
      </c>
    </row>
    <row r="95">
      <c r="A95" s="9" t="n">
        <v>45751</v>
      </c>
      <c r="B95" t="n">
        <v>83843.80469999999</v>
      </c>
    </row>
    <row r="96">
      <c r="A96" s="9" t="n">
        <v>45752</v>
      </c>
      <c r="B96" t="n">
        <v>83504.7969</v>
      </c>
    </row>
    <row r="97">
      <c r="A97" s="9" t="n">
        <v>45753</v>
      </c>
      <c r="B97" t="n">
        <v>78214.4844</v>
      </c>
    </row>
    <row r="98">
      <c r="A98" s="9" t="n">
        <v>45754</v>
      </c>
      <c r="B98" t="n">
        <v>79235.33590000001</v>
      </c>
    </row>
    <row r="99">
      <c r="A99" s="9" t="n">
        <v>45755</v>
      </c>
      <c r="B99" t="n">
        <v>76271.9531</v>
      </c>
    </row>
    <row r="100">
      <c r="A100" s="9" t="n">
        <v>45756</v>
      </c>
      <c r="B100" t="n">
        <v>82573.9531</v>
      </c>
    </row>
    <row r="101">
      <c r="A101" s="9" t="n">
        <v>45757</v>
      </c>
      <c r="B101" t="n">
        <v>79626.1406</v>
      </c>
    </row>
    <row r="102">
      <c r="A102" s="9" t="n">
        <v>45758</v>
      </c>
      <c r="B102" t="n">
        <v>83404.83590000001</v>
      </c>
    </row>
    <row r="103">
      <c r="A103" s="9" t="n">
        <v>45759</v>
      </c>
      <c r="B103" t="n">
        <v>85287.1094</v>
      </c>
    </row>
    <row r="104">
      <c r="A104" s="9" t="n">
        <v>45760</v>
      </c>
      <c r="B104" t="n">
        <v>83684.97659999999</v>
      </c>
    </row>
    <row r="105">
      <c r="A105" s="9" t="n">
        <v>45761</v>
      </c>
      <c r="B105" t="n">
        <v>84542.3906</v>
      </c>
    </row>
    <row r="106">
      <c r="A106" s="9" t="n">
        <v>45762</v>
      </c>
      <c r="B106" t="n">
        <v>83668.99219999999</v>
      </c>
    </row>
    <row r="107">
      <c r="A107" s="9" t="n">
        <v>45763</v>
      </c>
      <c r="B107" t="n">
        <v>84033.86719999999</v>
      </c>
    </row>
    <row r="108">
      <c r="A108" s="9" t="n">
        <v>45764</v>
      </c>
      <c r="B108" t="n">
        <v>84895.75</v>
      </c>
    </row>
    <row r="109">
      <c r="A109" s="9" t="n">
        <v>45765</v>
      </c>
      <c r="B109" t="n">
        <v>84450.80469999999</v>
      </c>
    </row>
    <row r="110">
      <c r="A110" s="9" t="n">
        <v>45766</v>
      </c>
      <c r="B110" t="n">
        <v>85063.41409999999</v>
      </c>
    </row>
    <row r="111">
      <c r="A111" s="9" t="n">
        <v>45767</v>
      </c>
      <c r="B111" t="n">
        <v>85174.30469999999</v>
      </c>
    </row>
    <row r="112">
      <c r="A112" s="9" t="n">
        <v>45768</v>
      </c>
      <c r="B112" t="n">
        <v>87518.9062</v>
      </c>
    </row>
    <row r="113">
      <c r="A113" s="9" t="n">
        <v>45769</v>
      </c>
      <c r="B113" t="n">
        <v>93441.8906</v>
      </c>
    </row>
    <row r="114">
      <c r="A114" s="9" t="n">
        <v>45770</v>
      </c>
      <c r="B114" t="n">
        <v>93699.1094</v>
      </c>
    </row>
    <row r="115">
      <c r="A115" s="9" t="n">
        <v>45771</v>
      </c>
      <c r="B115" t="n">
        <v>93943.7969</v>
      </c>
    </row>
    <row r="116">
      <c r="A116" s="9" t="n">
        <v>45772</v>
      </c>
      <c r="B116" t="n">
        <v>94720.5</v>
      </c>
    </row>
    <row r="117">
      <c r="A117" s="9" t="n">
        <v>45773</v>
      </c>
      <c r="B117" t="n">
        <v>94646.92969999999</v>
      </c>
    </row>
    <row r="118">
      <c r="A118" s="9" t="n">
        <v>45774</v>
      </c>
      <c r="B118" t="n">
        <v>93754.8438</v>
      </c>
    </row>
    <row r="119">
      <c r="A119" s="9" t="n">
        <v>45775</v>
      </c>
      <c r="B119" t="n">
        <v>94978.75</v>
      </c>
    </row>
    <row r="120">
      <c r="A120" s="9" t="n">
        <v>45776</v>
      </c>
      <c r="B120" t="n">
        <v>94284.78909999999</v>
      </c>
    </row>
    <row r="121">
      <c r="A121" s="9" t="n">
        <v>45777</v>
      </c>
      <c r="B121" t="n">
        <v>94207.3125</v>
      </c>
    </row>
    <row r="122">
      <c r="A122" s="9" t="n">
        <v>45778</v>
      </c>
      <c r="B122" t="n">
        <v>96492.33590000001</v>
      </c>
    </row>
    <row r="123">
      <c r="A123" s="9" t="n">
        <v>45779</v>
      </c>
      <c r="B123" t="n">
        <v>96910.07030000001</v>
      </c>
    </row>
    <row r="124">
      <c r="A124" s="9" t="n">
        <v>45780</v>
      </c>
      <c r="B124" t="n">
        <v>95891.7969</v>
      </c>
    </row>
    <row r="125">
      <c r="A125" s="9" t="n">
        <v>45781</v>
      </c>
      <c r="B125" t="n">
        <v>94315.97659999999</v>
      </c>
    </row>
    <row r="126">
      <c r="A126" s="9" t="n">
        <v>45782</v>
      </c>
      <c r="B126" t="n">
        <v>94748.05469999999</v>
      </c>
    </row>
    <row r="127">
      <c r="A127" s="9" t="n">
        <v>45783</v>
      </c>
      <c r="B127" t="n">
        <v>96802.47659999999</v>
      </c>
    </row>
    <row r="128">
      <c r="A128" s="9" t="n">
        <v>45784</v>
      </c>
      <c r="B128" t="n">
        <v>97032.32030000001</v>
      </c>
    </row>
    <row r="129">
      <c r="A129" s="9" t="n">
        <v>45785</v>
      </c>
      <c r="B129" t="n">
        <v>103241.4609</v>
      </c>
    </row>
    <row r="130">
      <c r="A130" s="9" t="n">
        <v>45786</v>
      </c>
      <c r="B130" t="n">
        <v>102970.8516</v>
      </c>
    </row>
    <row r="131">
      <c r="A131" s="9" t="n">
        <v>45787</v>
      </c>
      <c r="B131" t="n">
        <v>104696.3281</v>
      </c>
    </row>
    <row r="132">
      <c r="A132" s="9" t="n">
        <v>45788</v>
      </c>
      <c r="B132" t="n">
        <v>104106.3594</v>
      </c>
    </row>
    <row r="133">
      <c r="A133" s="9" t="n">
        <v>45789</v>
      </c>
      <c r="B133" t="n">
        <v>102812.9531</v>
      </c>
    </row>
    <row r="134">
      <c r="A134" s="9" t="n">
        <v>45790</v>
      </c>
      <c r="B134" t="n">
        <v>104169.8125</v>
      </c>
    </row>
    <row r="135">
      <c r="A135" s="9" t="n">
        <v>45791</v>
      </c>
      <c r="B135" t="n">
        <v>103539.4141</v>
      </c>
    </row>
    <row r="136">
      <c r="A136" s="9" t="n">
        <v>45792</v>
      </c>
      <c r="B136" t="n">
        <v>103744.6406</v>
      </c>
    </row>
    <row r="137">
      <c r="A137" s="9" t="n">
        <v>45793</v>
      </c>
      <c r="B137" t="n">
        <v>103489.2891</v>
      </c>
    </row>
    <row r="138">
      <c r="A138" s="9" t="n">
        <v>45794</v>
      </c>
      <c r="B138" t="n">
        <v>103191.0859</v>
      </c>
    </row>
    <row r="139">
      <c r="A139" s="9" t="n">
        <v>45795</v>
      </c>
      <c r="B139" t="n">
        <v>106446.0078</v>
      </c>
    </row>
    <row r="140">
      <c r="A140" s="9" t="n">
        <v>45796</v>
      </c>
      <c r="B140" t="n">
        <v>105606.1797</v>
      </c>
    </row>
    <row r="141">
      <c r="A141" s="9" t="n">
        <v>45797</v>
      </c>
      <c r="B141" t="n">
        <v>106791.0859</v>
      </c>
    </row>
    <row r="142">
      <c r="A142" s="9" t="n">
        <v>45798</v>
      </c>
      <c r="B142" t="n">
        <v>109678.0781</v>
      </c>
    </row>
    <row r="143">
      <c r="A143" s="9" t="n">
        <v>45799</v>
      </c>
      <c r="B143" t="n">
        <v>111673.2812</v>
      </c>
    </row>
    <row r="144">
      <c r="A144" s="9" t="n">
        <v>45800</v>
      </c>
      <c r="B144" t="n">
        <v>107287.7969</v>
      </c>
    </row>
    <row r="145">
      <c r="A145" s="9" t="n">
        <v>45801</v>
      </c>
      <c r="B145" t="n">
        <v>107791.1562</v>
      </c>
    </row>
    <row r="146">
      <c r="A146" s="9" t="n">
        <v>45802</v>
      </c>
      <c r="B146" t="n">
        <v>109035.3906</v>
      </c>
    </row>
    <row r="147">
      <c r="A147" s="9" t="n">
        <v>45803</v>
      </c>
      <c r="B147" t="n">
        <v>109440.3672</v>
      </c>
    </row>
    <row r="148">
      <c r="A148" s="9" t="n">
        <v>45804</v>
      </c>
      <c r="B148" t="n">
        <v>108994.6406</v>
      </c>
    </row>
    <row r="149">
      <c r="A149" s="9" t="n">
        <v>45805</v>
      </c>
      <c r="B149" t="n">
        <v>107802.3281</v>
      </c>
    </row>
    <row r="150">
      <c r="A150" s="9" t="n">
        <v>45806</v>
      </c>
      <c r="B150" t="n">
        <v>105641.7578</v>
      </c>
    </row>
    <row r="151">
      <c r="A151" s="9" t="n">
        <v>45807</v>
      </c>
      <c r="B151" t="n">
        <v>103998.5703</v>
      </c>
    </row>
    <row r="152">
      <c r="A152" s="9" t="n">
        <v>45808</v>
      </c>
      <c r="B152" t="n">
        <v>104638.0938</v>
      </c>
    </row>
    <row r="153">
      <c r="A153" s="9" t="n">
        <v>45809</v>
      </c>
      <c r="B153" t="n">
        <v>105652.1016</v>
      </c>
    </row>
    <row r="154">
      <c r="A154" s="9" t="n">
        <v>45810</v>
      </c>
      <c r="B154" t="n">
        <v>105881.5312</v>
      </c>
    </row>
    <row r="155">
      <c r="A155" s="9" t="n">
        <v>45811</v>
      </c>
      <c r="B155" t="n">
        <v>105432.4688</v>
      </c>
    </row>
    <row r="156">
      <c r="A156" s="9" t="n">
        <v>45812</v>
      </c>
      <c r="B156" t="n">
        <v>104731.9844</v>
      </c>
    </row>
    <row r="157">
      <c r="A157" s="9" t="n">
        <v>45813</v>
      </c>
      <c r="B157" t="n">
        <v>101575.9531</v>
      </c>
    </row>
    <row r="158">
      <c r="A158" s="9" t="n">
        <v>45814</v>
      </c>
      <c r="B158" t="n">
        <v>104390.3438</v>
      </c>
    </row>
    <row r="159">
      <c r="A159" s="9" t="n">
        <v>45815</v>
      </c>
      <c r="B159" t="n">
        <v>105615.625</v>
      </c>
    </row>
    <row r="160">
      <c r="A160" s="9" t="n">
        <v>45816</v>
      </c>
      <c r="B160" t="n">
        <v>105793.6484</v>
      </c>
    </row>
    <row r="161">
      <c r="A161" s="9" t="n">
        <v>45817</v>
      </c>
      <c r="B161" t="n">
        <v>110294.1016</v>
      </c>
    </row>
    <row r="162">
      <c r="A162" s="9" t="n">
        <v>45818</v>
      </c>
      <c r="B162" t="n">
        <v>110257.2344</v>
      </c>
    </row>
    <row r="163">
      <c r="A163" s="9" t="n">
        <v>45819</v>
      </c>
      <c r="B163" t="n">
        <v>108686.625</v>
      </c>
    </row>
    <row r="164">
      <c r="A164" s="9" t="n">
        <v>45820</v>
      </c>
      <c r="B164" t="n">
        <v>105929.0547</v>
      </c>
    </row>
    <row r="165">
      <c r="A165" s="9" t="n">
        <v>45821</v>
      </c>
      <c r="B165" t="n">
        <v>106090.9688</v>
      </c>
    </row>
    <row r="166">
      <c r="A166" s="9" t="n">
        <v>45822</v>
      </c>
      <c r="B166" t="n">
        <v>105472.4062</v>
      </c>
    </row>
    <row r="167">
      <c r="A167" s="9" t="n">
        <v>45823</v>
      </c>
      <c r="B167" t="n">
        <v>105552.0234</v>
      </c>
    </row>
    <row r="168">
      <c r="A168" s="9" t="n">
        <v>45824</v>
      </c>
      <c r="B168" t="n">
        <v>106796.7578</v>
      </c>
    </row>
    <row r="169">
      <c r="A169" s="9" t="n">
        <v>45825</v>
      </c>
      <c r="B169" t="n">
        <v>104601.1172</v>
      </c>
    </row>
    <row r="170">
      <c r="A170" s="9" t="n">
        <v>45826</v>
      </c>
      <c r="B170" t="n">
        <v>104883.3281</v>
      </c>
    </row>
    <row r="171">
      <c r="A171" s="9" t="n">
        <v>45827</v>
      </c>
      <c r="B171" t="n">
        <v>104684.2891</v>
      </c>
    </row>
    <row r="172">
      <c r="A172" s="9" t="n">
        <v>45828</v>
      </c>
      <c r="B172" t="n">
        <v>103309.6016</v>
      </c>
    </row>
    <row r="173">
      <c r="A173" s="9" t="n">
        <v>45829</v>
      </c>
      <c r="B173" t="n">
        <v>102257.4062</v>
      </c>
    </row>
    <row r="174">
      <c r="A174" s="9" t="n">
        <v>45830</v>
      </c>
      <c r="B174" t="n">
        <v>100987.1406</v>
      </c>
    </row>
    <row r="175">
      <c r="A175" s="9" t="n">
        <v>45831</v>
      </c>
      <c r="B175" t="n">
        <v>105577.7734</v>
      </c>
    </row>
    <row r="176">
      <c r="A176" s="9" t="n">
        <v>45832</v>
      </c>
      <c r="B176" t="n">
        <v>106045.6328</v>
      </c>
    </row>
    <row r="177">
      <c r="A177" s="9" t="n">
        <v>45833</v>
      </c>
      <c r="B177" t="n">
        <v>107361.2578</v>
      </c>
    </row>
    <row r="178">
      <c r="A178" s="9" t="n">
        <v>45834</v>
      </c>
      <c r="B178" t="n">
        <v>106960</v>
      </c>
    </row>
    <row r="179">
      <c r="A179" s="9" t="n">
        <v>45835</v>
      </c>
      <c r="B179" t="n">
        <v>107088.4297</v>
      </c>
    </row>
    <row r="180">
      <c r="A180" s="9" t="n">
        <v>45836</v>
      </c>
      <c r="B180" t="n">
        <v>107327.7031</v>
      </c>
    </row>
    <row r="181">
      <c r="A181" s="9" t="n">
        <v>45837</v>
      </c>
      <c r="B181" t="n">
        <v>108385.5703</v>
      </c>
    </row>
    <row r="182">
      <c r="A182" s="9" t="n">
        <v>45838</v>
      </c>
      <c r="B182" t="n">
        <v>107135.3359</v>
      </c>
    </row>
    <row r="183">
      <c r="A183" s="9" t="n">
        <v>45839</v>
      </c>
      <c r="B183" t="n">
        <v>105698.2812</v>
      </c>
    </row>
    <row r="184">
      <c r="A184" s="9" t="n">
        <v>45840</v>
      </c>
      <c r="B184" t="n">
        <v>108859.3203</v>
      </c>
    </row>
    <row r="185">
      <c r="A185" s="9" t="n">
        <v>45841</v>
      </c>
      <c r="B185" t="n">
        <v>109647.9766</v>
      </c>
    </row>
    <row r="186">
      <c r="A186" s="9" t="n">
        <v>45842</v>
      </c>
      <c r="B186" t="n">
        <v>108034.3359</v>
      </c>
    </row>
    <row r="187">
      <c r="A187" s="9" t="n">
        <v>45843</v>
      </c>
      <c r="B187" t="n">
        <v>108231.1797</v>
      </c>
    </row>
    <row r="188">
      <c r="A188" s="9" t="n">
        <v>45844</v>
      </c>
      <c r="B188" t="n">
        <v>109232.0703</v>
      </c>
    </row>
    <row r="189">
      <c r="A189" s="9" t="n">
        <v>45845</v>
      </c>
      <c r="B189" t="n">
        <v>108299.8516</v>
      </c>
    </row>
    <row r="190">
      <c r="A190" s="9" t="n">
        <v>45846</v>
      </c>
      <c r="B190" t="n">
        <v>108950.2734</v>
      </c>
    </row>
    <row r="191">
      <c r="A191" s="9" t="n">
        <v>45847</v>
      </c>
      <c r="B191" t="n">
        <v>111326.5547</v>
      </c>
    </row>
    <row r="192">
      <c r="A192" s="9" t="n">
        <v>45848</v>
      </c>
      <c r="B192" t="n">
        <v>115987.2031</v>
      </c>
    </row>
    <row r="193">
      <c r="A193" s="9" t="n">
        <v>45849</v>
      </c>
      <c r="B193" t="n">
        <v>117516.9922</v>
      </c>
    </row>
    <row r="194">
      <c r="A194" s="9" t="n">
        <v>45850</v>
      </c>
      <c r="B194" t="n">
        <v>117435.2266</v>
      </c>
    </row>
    <row r="195">
      <c r="A195" s="9" t="n">
        <v>45851</v>
      </c>
      <c r="B195" t="n">
        <v>119116.1172</v>
      </c>
    </row>
    <row r="196">
      <c r="A196" s="9" t="n">
        <v>45852</v>
      </c>
      <c r="B196" t="n">
        <v>119849.7031</v>
      </c>
    </row>
    <row r="197">
      <c r="A197" s="9" t="n">
        <v>45853</v>
      </c>
      <c r="B197" t="n">
        <v>117777.1875</v>
      </c>
    </row>
    <row r="198">
      <c r="A198" s="9" t="n">
        <v>45854</v>
      </c>
      <c r="B198" t="n">
        <v>118738.5078</v>
      </c>
    </row>
    <row r="199">
      <c r="A199" s="9" t="n">
        <v>45855</v>
      </c>
      <c r="B199" t="n">
        <v>119289.8438</v>
      </c>
    </row>
    <row r="200">
      <c r="A200" s="9" t="n">
        <v>45856</v>
      </c>
      <c r="B200" t="n">
        <v>118003.2266</v>
      </c>
    </row>
    <row r="201">
      <c r="A201" s="9" t="n">
        <v>45857</v>
      </c>
      <c r="B201" t="n">
        <v>117939.9766</v>
      </c>
    </row>
    <row r="202">
      <c r="A202" s="9" t="n">
        <v>45858</v>
      </c>
      <c r="B202" t="n">
        <v>117300.7891</v>
      </c>
    </row>
    <row r="203">
      <c r="A203" s="9" t="n">
        <v>45859</v>
      </c>
      <c r="B203" t="n">
        <v>117439.5391</v>
      </c>
    </row>
    <row r="204">
      <c r="A204" s="9" t="n">
        <v>45860</v>
      </c>
      <c r="B204" t="n">
        <v>119995.4141</v>
      </c>
    </row>
    <row r="205">
      <c r="A205" s="9" t="n">
        <v>45861</v>
      </c>
      <c r="B205" t="n">
        <v>118754.9609</v>
      </c>
    </row>
    <row r="206">
      <c r="A206" s="9" t="n">
        <v>45862</v>
      </c>
      <c r="B206" t="n">
        <v>118368</v>
      </c>
    </row>
    <row r="207">
      <c r="A207" s="9" t="n">
        <v>45863</v>
      </c>
      <c r="B207" t="n">
        <v>117635.8828</v>
      </c>
    </row>
    <row r="208">
      <c r="A208" s="9" t="n">
        <v>45864</v>
      </c>
      <c r="B208" t="n">
        <v>117947.3672</v>
      </c>
    </row>
    <row r="209">
      <c r="A209" s="9" t="n">
        <v>45865</v>
      </c>
      <c r="B209" t="n">
        <v>119448.4922</v>
      </c>
    </row>
    <row r="210">
      <c r="A210" s="9" t="n">
        <v>45866</v>
      </c>
      <c r="B210" t="n">
        <v>117924.4766</v>
      </c>
    </row>
    <row r="211">
      <c r="A211" s="9" t="n">
        <v>45867</v>
      </c>
      <c r="B211" t="n">
        <v>117922.1484</v>
      </c>
    </row>
    <row r="212">
      <c r="A212" s="9" t="n">
        <v>45868</v>
      </c>
      <c r="B212" t="n">
        <v>117831.1875</v>
      </c>
    </row>
    <row r="213">
      <c r="A213" s="9" t="n">
        <v>45869</v>
      </c>
      <c r="B213" t="n">
        <v>115758.2031</v>
      </c>
    </row>
    <row r="214">
      <c r="A214" s="9" t="n">
        <v>45870</v>
      </c>
      <c r="B214" t="n">
        <v>113320.0859</v>
      </c>
    </row>
    <row r="215">
      <c r="A215" s="9" t="n">
        <v>45871</v>
      </c>
      <c r="B215" t="n">
        <v>112526.9141</v>
      </c>
    </row>
    <row r="216">
      <c r="A216" s="9" t="n">
        <v>45872</v>
      </c>
      <c r="B216" t="n">
        <v>114217.6719</v>
      </c>
    </row>
    <row r="217">
      <c r="A217" s="9" t="n">
        <v>45873</v>
      </c>
      <c r="B217" t="n">
        <v>115071.8828</v>
      </c>
    </row>
    <row r="218">
      <c r="A218" s="9" t="n">
        <v>45874</v>
      </c>
      <c r="B218" t="n">
        <v>114141.4453</v>
      </c>
    </row>
    <row r="219">
      <c r="A219" s="9" t="n">
        <v>45875</v>
      </c>
      <c r="B219" t="n">
        <v>115028</v>
      </c>
    </row>
    <row r="220">
      <c r="A220" s="9" t="n">
        <v>45876</v>
      </c>
      <c r="B220" t="n">
        <v>117496.8984</v>
      </c>
    </row>
    <row r="221">
      <c r="A221" s="9" t="n">
        <v>45877</v>
      </c>
      <c r="B221" t="n">
        <v>116688.7266</v>
      </c>
    </row>
    <row r="222">
      <c r="A222" s="9" t="n">
        <v>45878</v>
      </c>
      <c r="B222" t="n">
        <v>116500.3594</v>
      </c>
    </row>
    <row r="223">
      <c r="A223" s="9" t="n">
        <v>45879</v>
      </c>
      <c r="B223" t="n">
        <v>119306.7578</v>
      </c>
    </row>
    <row r="224">
      <c r="A224" s="9" t="n">
        <v>45880</v>
      </c>
      <c r="B224" t="n">
        <v>118731.4453</v>
      </c>
    </row>
    <row r="225">
      <c r="A225" s="9" t="n">
        <v>45881</v>
      </c>
      <c r="B225" t="n">
        <v>120172.9062</v>
      </c>
    </row>
    <row r="226">
      <c r="A226" s="9" t="n">
        <v>45882</v>
      </c>
      <c r="B226" t="n">
        <v>123344.0625</v>
      </c>
    </row>
    <row r="227">
      <c r="A227" s="9" t="n">
        <v>45883</v>
      </c>
      <c r="B227" t="n">
        <v>118359.5781</v>
      </c>
    </row>
    <row r="228">
      <c r="A228" s="9" t="n">
        <v>45884</v>
      </c>
      <c r="B228" t="n">
        <v>117398.3516</v>
      </c>
    </row>
    <row r="229">
      <c r="A229" s="9" t="n">
        <v>45885</v>
      </c>
      <c r="B229" t="n">
        <v>117491.3516</v>
      </c>
    </row>
    <row r="230">
      <c r="A230" s="9" t="n">
        <v>45886</v>
      </c>
      <c r="B230" t="n">
        <v>117453.0625</v>
      </c>
    </row>
    <row r="231">
      <c r="A231" s="9" t="n">
        <v>45887</v>
      </c>
      <c r="B231" t="n">
        <v>116252.3125</v>
      </c>
    </row>
    <row r="232">
      <c r="A232" s="9" t="n">
        <v>45888</v>
      </c>
      <c r="B232" t="n">
        <v>112831.1797</v>
      </c>
    </row>
    <row r="233">
      <c r="A233" s="9" t="n">
        <v>45889</v>
      </c>
      <c r="B233" t="n">
        <v>114274.7422</v>
      </c>
    </row>
    <row r="234">
      <c r="A234" s="9" t="n">
        <v>45890</v>
      </c>
      <c r="B234" t="n">
        <v>112419.0312</v>
      </c>
    </row>
    <row r="235">
      <c r="A235" s="9" t="n">
        <v>45891</v>
      </c>
      <c r="B235" t="n">
        <v>116874.0859</v>
      </c>
    </row>
    <row r="236">
      <c r="A236" s="9" t="n">
        <v>45892</v>
      </c>
      <c r="B236" t="n">
        <v>115374.3281</v>
      </c>
    </row>
    <row r="237">
      <c r="A237" s="9" t="n">
        <v>45893</v>
      </c>
      <c r="B237" t="n">
        <v>113458.4297</v>
      </c>
    </row>
    <row r="238">
      <c r="A238" s="9" t="n">
        <v>45894</v>
      </c>
      <c r="B238" t="n">
        <v>110124.3516</v>
      </c>
    </row>
    <row r="239">
      <c r="A239" s="9" t="n">
        <v>45895</v>
      </c>
      <c r="B239" t="n">
        <v>111802.6562</v>
      </c>
    </row>
    <row r="240">
      <c r="A240" s="9" t="n">
        <v>45896</v>
      </c>
      <c r="B240" t="n">
        <v>111222.0625</v>
      </c>
    </row>
    <row r="241">
      <c r="A241" s="9" t="n">
        <v>45897</v>
      </c>
      <c r="B241" t="n">
        <v>112544.8047</v>
      </c>
    </row>
    <row r="242">
      <c r="A242" s="9" t="n">
        <v>45898</v>
      </c>
      <c r="B242" t="n">
        <v>108410.8359</v>
      </c>
    </row>
    <row r="243">
      <c r="A243" s="9" t="n">
        <v>45899</v>
      </c>
      <c r="B243" t="n">
        <v>108808.0703</v>
      </c>
    </row>
    <row r="244">
      <c r="A244" s="9" t="n">
        <v>45900</v>
      </c>
      <c r="B244" t="n">
        <v>108236.7109</v>
      </c>
    </row>
    <row r="245">
      <c r="A245" s="9" t="n">
        <v>45901</v>
      </c>
      <c r="B245" t="n">
        <v>109250.5938</v>
      </c>
    </row>
    <row r="246">
      <c r="A246" s="9" t="n">
        <v>45902</v>
      </c>
      <c r="B246" t="n">
        <v>111200.5859</v>
      </c>
    </row>
    <row r="247">
      <c r="A247" s="9" t="n">
        <v>45903</v>
      </c>
      <c r="B247" t="n">
        <v>111723.2109</v>
      </c>
    </row>
    <row r="248">
      <c r="A248" s="9" t="n">
        <v>45904</v>
      </c>
      <c r="B248" t="n">
        <v>110723.6016</v>
      </c>
    </row>
    <row r="249">
      <c r="A249" s="9" t="n">
        <v>45905</v>
      </c>
      <c r="B249" t="n">
        <v>110650.9844</v>
      </c>
    </row>
    <row r="250">
      <c r="A250" s="9" t="n">
        <v>45906</v>
      </c>
      <c r="B250" t="n">
        <v>110224.6953</v>
      </c>
    </row>
    <row r="251">
      <c r="A251" s="9" t="n">
        <v>45907</v>
      </c>
      <c r="B251" t="n">
        <v>111167.6172</v>
      </c>
    </row>
    <row r="252">
      <c r="A252" s="9" t="n">
        <v>45908</v>
      </c>
      <c r="B252" t="n">
        <v>112071.4297</v>
      </c>
    </row>
    <row r="253">
      <c r="A253" s="9" t="n">
        <v>45909</v>
      </c>
      <c r="B253" t="n">
        <v>111530.5469</v>
      </c>
    </row>
    <row r="254">
      <c r="A254" s="9" t="n">
        <v>45910</v>
      </c>
      <c r="B254" t="n">
        <v>113955.3594</v>
      </c>
    </row>
    <row r="255">
      <c r="A255" s="9" t="n">
        <v>45911</v>
      </c>
      <c r="B255" t="n">
        <v>115507.5391</v>
      </c>
    </row>
    <row r="256">
      <c r="A256" s="9" t="n">
        <v>45912</v>
      </c>
      <c r="B256" t="n">
        <v>116101.5781</v>
      </c>
    </row>
    <row r="257">
      <c r="A257" s="9" t="n">
        <v>45913</v>
      </c>
      <c r="B257" t="n">
        <v>115950.5078</v>
      </c>
    </row>
    <row r="258">
      <c r="A258" s="9" t="n">
        <v>45914</v>
      </c>
      <c r="B258" t="n">
        <v>115407.6562</v>
      </c>
    </row>
    <row r="259">
      <c r="A259" s="9" t="n">
        <v>45915</v>
      </c>
      <c r="B259" t="n">
        <v>115444.875</v>
      </c>
    </row>
    <row r="260">
      <c r="A260" s="9" t="n">
        <v>45916</v>
      </c>
      <c r="B260" t="n">
        <v>116843.1875</v>
      </c>
    </row>
    <row r="261">
      <c r="A261" s="9" t="n">
        <v>45917</v>
      </c>
      <c r="B261" t="n">
        <v>116468.5078</v>
      </c>
    </row>
    <row r="262">
      <c r="A262" s="9" t="n">
        <v>45918</v>
      </c>
      <c r="B262" t="n">
        <v>117137.2031</v>
      </c>
    </row>
    <row r="263">
      <c r="A263" s="9" t="n">
        <v>45919</v>
      </c>
      <c r="B263" t="n">
        <v>115688.8594</v>
      </c>
    </row>
    <row r="264">
      <c r="A264" s="9" t="n">
        <v>45920</v>
      </c>
      <c r="B264" t="n">
        <v>115721.9609</v>
      </c>
    </row>
    <row r="265">
      <c r="A265" s="9" t="n">
        <v>45921</v>
      </c>
      <c r="B265" t="n">
        <v>115306.0938</v>
      </c>
    </row>
    <row r="266">
      <c r="A266" s="9" t="n">
        <v>45922</v>
      </c>
      <c r="B266" t="n">
        <v>112748.5078</v>
      </c>
    </row>
    <row r="267">
      <c r="A267" s="9" t="n">
        <v>45923</v>
      </c>
      <c r="B267" t="n">
        <v>112014.5</v>
      </c>
    </row>
    <row r="268">
      <c r="A268" s="9" t="n">
        <v>45924</v>
      </c>
      <c r="B268" t="n">
        <v>113328.6328</v>
      </c>
    </row>
    <row r="269">
      <c r="A269" s="9" t="n">
        <v>45925</v>
      </c>
      <c r="B269" t="n">
        <v>109049.2891</v>
      </c>
    </row>
    <row r="270">
      <c r="A270" s="9" t="n">
        <v>45926</v>
      </c>
      <c r="B270" t="n">
        <v>109712.8281</v>
      </c>
    </row>
    <row r="271">
      <c r="A271" s="9" t="n">
        <v>45927</v>
      </c>
      <c r="B271" t="n">
        <v>109681.9453</v>
      </c>
    </row>
    <row r="272">
      <c r="A272" s="9" t="n">
        <v>45928</v>
      </c>
      <c r="B272" t="n">
        <v>112122.6406</v>
      </c>
    </row>
    <row r="273">
      <c r="A273" s="9" t="n">
        <v>45929</v>
      </c>
      <c r="B273" t="n">
        <v>114400.3828</v>
      </c>
    </row>
    <row r="274">
      <c r="A274" s="9" t="n">
        <v>45930</v>
      </c>
      <c r="B274" t="n">
        <v>114056.0859</v>
      </c>
    </row>
    <row r="275">
      <c r="A275" s="9" t="n">
        <v>45931</v>
      </c>
      <c r="B275" t="n">
        <v>118648.9297</v>
      </c>
    </row>
    <row r="276">
      <c r="A276" s="9" t="n">
        <v>45932</v>
      </c>
      <c r="B276" t="n">
        <v>120681.2578</v>
      </c>
    </row>
    <row r="277">
      <c r="A277" s="9" t="n">
        <v>45933</v>
      </c>
      <c r="B277" t="n">
        <v>122266.5312</v>
      </c>
    </row>
    <row r="278">
      <c r="A278" s="9" t="n">
        <v>45934</v>
      </c>
      <c r="B278" t="n">
        <v>122425.4297</v>
      </c>
    </row>
    <row r="279">
      <c r="A279" s="9" t="n">
        <v>45935</v>
      </c>
      <c r="B279" t="n">
        <v>123513.4766</v>
      </c>
    </row>
    <row r="280">
      <c r="A280" s="9" t="n">
        <v>45936</v>
      </c>
      <c r="B280" t="n">
        <v>124752.5312</v>
      </c>
    </row>
    <row r="281">
      <c r="A281" s="9" t="n">
        <v>45937</v>
      </c>
      <c r="B281" t="n">
        <v>121451.3828</v>
      </c>
    </row>
    <row r="282">
      <c r="A282" s="9" t="n">
        <v>45938</v>
      </c>
      <c r="B282" t="n">
        <v>123354.8672</v>
      </c>
    </row>
    <row r="283">
      <c r="A283" s="9" t="n">
        <v>45939</v>
      </c>
      <c r="B283" t="n">
        <v>121705.5859</v>
      </c>
    </row>
    <row r="284">
      <c r="A284" s="9" t="n">
        <v>45940</v>
      </c>
      <c r="B284" t="n">
        <v>113214.3672</v>
      </c>
    </row>
    <row r="285">
      <c r="A285" s="9" t="n">
        <v>45941</v>
      </c>
      <c r="B285" t="n">
        <v>110807.8828</v>
      </c>
    </row>
    <row r="286">
      <c r="A286" s="9" t="n">
        <v>45942</v>
      </c>
      <c r="B286" t="n">
        <v>115169.7656</v>
      </c>
    </row>
    <row r="287">
      <c r="A287" s="9" t="n">
        <v>45943</v>
      </c>
      <c r="B287" t="n">
        <v>115271.0781</v>
      </c>
    </row>
    <row r="288">
      <c r="A288" s="9" t="n">
        <v>45944</v>
      </c>
      <c r="B288" t="n">
        <v>113118.6641</v>
      </c>
    </row>
    <row r="289">
      <c r="A289" s="9" t="n">
        <v>45945</v>
      </c>
      <c r="B289" t="n">
        <v>110783.1641</v>
      </c>
    </row>
    <row r="290">
      <c r="A290" s="9" t="n">
        <v>45946</v>
      </c>
      <c r="B290" t="n">
        <v>108186.0391</v>
      </c>
    </row>
    <row r="291">
      <c r="A291" s="9" t="n">
        <v>45947</v>
      </c>
      <c r="B291" t="n">
        <v>106467.7891</v>
      </c>
    </row>
    <row r="292">
      <c r="A292" s="9" t="n">
        <v>45948</v>
      </c>
      <c r="B292" t="n">
        <v>107198.2656</v>
      </c>
    </row>
    <row r="293">
      <c r="A293" s="9" t="n">
        <v>45949</v>
      </c>
      <c r="B293" t="n">
        <v>108666.7109</v>
      </c>
    </row>
    <row r="294">
      <c r="A294" s="9" t="n">
        <v>45950</v>
      </c>
      <c r="B294" t="n">
        <v>110588.9297</v>
      </c>
    </row>
    <row r="295">
      <c r="A295" s="9" t="n">
        <v>45951</v>
      </c>
      <c r="B295" t="n">
        <v>108476.8906</v>
      </c>
    </row>
    <row r="296">
      <c r="A296" s="9" t="n">
        <v>45952</v>
      </c>
      <c r="B296" t="n">
        <v>107688.5859</v>
      </c>
    </row>
    <row r="297">
      <c r="A297" s="9" t="n">
        <v>45953</v>
      </c>
      <c r="B297" t="n">
        <v>110069.7266</v>
      </c>
    </row>
    <row r="298">
      <c r="A298" s="9" t="n">
        <v>45954</v>
      </c>
      <c r="B298" t="n">
        <v>111033.9219</v>
      </c>
    </row>
    <row r="299">
      <c r="A299" s="9" t="n">
        <v>45955</v>
      </c>
      <c r="B299" t="n">
        <v>111641.7266</v>
      </c>
    </row>
    <row r="300">
      <c r="A300" s="9" t="n">
        <v>45956</v>
      </c>
      <c r="B300" t="n">
        <v>114472.4453</v>
      </c>
    </row>
    <row r="301">
      <c r="A301" s="9" t="n">
        <v>45957</v>
      </c>
      <c r="B301" t="n">
        <v>114119.3281</v>
      </c>
    </row>
    <row r="302">
      <c r="A302" s="9" t="n">
        <v>45958</v>
      </c>
      <c r="B302" t="n">
        <v>112956.1641</v>
      </c>
    </row>
    <row r="303">
      <c r="A303" s="9" t="n">
        <v>45959</v>
      </c>
      <c r="B303" t="n">
        <v>110055.3047</v>
      </c>
    </row>
    <row r="304">
      <c r="A304" s="9" t="n">
        <v>45960</v>
      </c>
      <c r="B304" t="n">
        <v>108305.5469</v>
      </c>
    </row>
    <row r="305">
      <c r="A305" s="9" t="n">
        <v>45961</v>
      </c>
      <c r="B305" t="n">
        <v>109556.1641</v>
      </c>
    </row>
    <row r="306">
      <c r="A306" s="9" t="n">
        <v>45962</v>
      </c>
      <c r="B306" t="n">
        <v>110064.0156</v>
      </c>
    </row>
    <row r="307">
      <c r="A307" s="9" t="n">
        <v>45963</v>
      </c>
      <c r="B307" t="n">
        <v>110639.625</v>
      </c>
    </row>
    <row r="308">
      <c r="A308" s="9" t="n">
        <v>45964</v>
      </c>
      <c r="B308" t="n">
        <v>106547.5234</v>
      </c>
    </row>
    <row r="309">
      <c r="A309" s="9" t="n">
        <v>45965</v>
      </c>
      <c r="B309" t="n">
        <v>101590.5234</v>
      </c>
    </row>
    <row r="310">
      <c r="A310" s="9" t="n">
        <v>45966</v>
      </c>
      <c r="B310" t="n">
        <v>103891.8359</v>
      </c>
    </row>
    <row r="311">
      <c r="A311" s="9" t="n">
        <v>45967</v>
      </c>
      <c r="B311" t="n">
        <v>101301.2891</v>
      </c>
    </row>
    <row r="312">
      <c r="A312" s="9" t="n">
        <v>45968</v>
      </c>
      <c r="B312" t="n">
        <v>103372.4062</v>
      </c>
    </row>
    <row r="313">
      <c r="A313" s="9" t="n">
        <v>45969</v>
      </c>
      <c r="B313" t="n">
        <v>102282.1172</v>
      </c>
    </row>
    <row r="314">
      <c r="A314" s="9" t="n">
        <v>45970</v>
      </c>
      <c r="B314" t="n">
        <v>104719.6406</v>
      </c>
    </row>
    <row r="315">
      <c r="A315" s="9" t="n">
        <v>45971</v>
      </c>
      <c r="B315" t="n">
        <v>105996.5938</v>
      </c>
    </row>
    <row r="316">
      <c r="A316" s="9" t="n">
        <v>45972</v>
      </c>
      <c r="B316" t="n">
        <v>102997.4688</v>
      </c>
    </row>
    <row r="317">
      <c r="A317" s="9" t="n">
        <v>45973</v>
      </c>
      <c r="B317" t="n">
        <v>101663.1875</v>
      </c>
    </row>
    <row r="318">
      <c r="A318" s="9" t="n">
        <v>45974</v>
      </c>
      <c r="B318" t="n">
        <v>99697.49219999999</v>
      </c>
    </row>
    <row r="319">
      <c r="A319" s="9" t="n">
        <v>45975</v>
      </c>
      <c r="B319" t="n">
        <v>94397.78909999999</v>
      </c>
    </row>
    <row r="320">
      <c r="A320" s="9" t="n">
        <v>45976</v>
      </c>
      <c r="B320" t="n">
        <v>95549.14840000001</v>
      </c>
    </row>
    <row r="321">
      <c r="A321" s="9" t="n">
        <v>45977</v>
      </c>
      <c r="B321" t="n">
        <v>94177.0781</v>
      </c>
    </row>
    <row r="322">
      <c r="A322" s="9" t="n">
        <v>45978</v>
      </c>
      <c r="B322" t="n">
        <v>92093.875</v>
      </c>
    </row>
    <row r="323">
      <c r="A323" s="9" t="n">
        <v>45979</v>
      </c>
      <c r="B323" t="n">
        <v>92948.875</v>
      </c>
    </row>
    <row r="324">
      <c r="A324" s="9" t="n">
        <v>45980</v>
      </c>
      <c r="B324" t="n">
        <v>91465.99219999999</v>
      </c>
    </row>
    <row r="325">
      <c r="A325" s="9" t="n">
        <v>45981</v>
      </c>
      <c r="B325" t="n">
        <v>86631.89840000001</v>
      </c>
    </row>
    <row r="326">
      <c r="A326" s="9" t="n">
        <v>45982</v>
      </c>
      <c r="B326" t="n">
        <v>85090.6875</v>
      </c>
    </row>
    <row r="327">
      <c r="A327" s="9" t="n">
        <v>45983</v>
      </c>
      <c r="B327" t="n">
        <v>84648.3594</v>
      </c>
    </row>
    <row r="328">
      <c r="A328" s="9" t="n">
        <v>45984</v>
      </c>
      <c r="B328" t="n">
        <v>86805.00780000001</v>
      </c>
    </row>
    <row r="329">
      <c r="A329" s="9" t="n">
        <v>45985</v>
      </c>
      <c r="B329" t="n">
        <v>88270.5625</v>
      </c>
    </row>
    <row r="330">
      <c r="A330" s="9" t="n">
        <v>45986</v>
      </c>
      <c r="B330" t="n">
        <v>87341.8906</v>
      </c>
    </row>
    <row r="331">
      <c r="A331" s="9" t="n">
        <v>45987</v>
      </c>
      <c r="B331" t="n">
        <v>90518.36719999999</v>
      </c>
    </row>
    <row r="332">
      <c r="A332" s="9" t="n">
        <v>45988</v>
      </c>
      <c r="B332" t="n">
        <v>91285.375</v>
      </c>
    </row>
    <row r="333">
      <c r="A333" s="9" t="n">
        <v>45989</v>
      </c>
      <c r="B333" t="n">
        <v>90919.2656</v>
      </c>
    </row>
    <row r="334">
      <c r="A334" s="9" t="n">
        <v>45990</v>
      </c>
      <c r="B334" t="n">
        <v>90851.75780000001</v>
      </c>
    </row>
    <row r="335">
      <c r="A335" s="9" t="n">
        <v>45991</v>
      </c>
      <c r="B335" t="n">
        <v>90394.3125</v>
      </c>
    </row>
    <row r="336">
      <c r="A336" s="9" t="n">
        <v>45992</v>
      </c>
      <c r="B336" t="n">
        <v>86321.57030000001</v>
      </c>
    </row>
    <row r="337">
      <c r="A337" s="9" t="n">
        <v>45993</v>
      </c>
      <c r="B337" t="n">
        <v>91350.2031</v>
      </c>
    </row>
    <row r="338">
      <c r="A338" s="9" t="n">
        <v>45994</v>
      </c>
      <c r="B338" t="n">
        <v>93527.80469999999</v>
      </c>
    </row>
    <row r="339">
      <c r="A339" s="9" t="n">
        <v>45995</v>
      </c>
      <c r="B339" t="n">
        <v>92141.625</v>
      </c>
    </row>
    <row r="340">
      <c r="A340" s="9" t="n">
        <v>45996</v>
      </c>
      <c r="B340" t="n">
        <v>89387.75780000001</v>
      </c>
    </row>
    <row r="341">
      <c r="A341" s="9" t="n">
        <v>45997</v>
      </c>
      <c r="B341" t="n">
        <v>89272.375</v>
      </c>
    </row>
    <row r="342">
      <c r="A342" s="9" t="n">
        <v>45998</v>
      </c>
      <c r="B342" t="n">
        <v>90405.6406</v>
      </c>
    </row>
    <row r="343">
      <c r="A343" s="9" t="n">
        <v>45999</v>
      </c>
      <c r="B343" t="n">
        <v>90640.2031</v>
      </c>
    </row>
    <row r="344">
      <c r="A344" s="9" t="n">
        <v>46000</v>
      </c>
      <c r="B344" t="n">
        <v>92691.71090000001</v>
      </c>
    </row>
    <row r="345">
      <c r="A345" s="9" t="n">
        <v>46001</v>
      </c>
      <c r="B345" t="n">
        <v>92020.94530000001</v>
      </c>
    </row>
    <row r="346">
      <c r="A346" s="9" t="n">
        <v>46002</v>
      </c>
      <c r="B346" t="n">
        <v>92511.33590000001</v>
      </c>
    </row>
    <row r="347">
      <c r="A347" s="9" t="n">
        <v>46003</v>
      </c>
      <c r="B347" t="n">
        <v>90270.41409999999</v>
      </c>
    </row>
    <row r="348">
      <c r="A348" s="9" t="n">
        <v>46004</v>
      </c>
      <c r="B348" t="n">
        <v>90298.71090000001</v>
      </c>
    </row>
    <row r="349">
      <c r="A349" s="9" t="n">
        <v>46005</v>
      </c>
      <c r="B349" t="n">
        <v>88175.17969999999</v>
      </c>
    </row>
    <row r="350">
      <c r="A350" s="9" t="n">
        <v>46006</v>
      </c>
      <c r="B350" t="n">
        <v>86419.7812</v>
      </c>
    </row>
    <row r="351">
      <c r="A351" s="9" t="n">
        <v>46007</v>
      </c>
      <c r="B351" t="n">
        <v>87843.9844</v>
      </c>
    </row>
    <row r="352">
      <c r="A352" s="9" t="n">
        <v>46008</v>
      </c>
      <c r="B352" t="n">
        <v>86143.75780000001</v>
      </c>
    </row>
    <row r="353">
      <c r="A353" s="9" t="n">
        <v>46009</v>
      </c>
      <c r="B353" t="n">
        <v>85462.50780000001</v>
      </c>
    </row>
    <row r="354">
      <c r="A354" s="9" t="n">
        <v>46010</v>
      </c>
      <c r="B354" t="n">
        <v>88103.38280000001</v>
      </c>
    </row>
    <row r="355">
      <c r="A355" s="9" t="n">
        <v>46011</v>
      </c>
      <c r="B355" t="n">
        <v>88344</v>
      </c>
    </row>
    <row r="356">
      <c r="A356" s="9" t="n">
        <v>46012</v>
      </c>
      <c r="B356" t="n">
        <v>88621.75</v>
      </c>
    </row>
    <row r="357">
      <c r="A357" s="9" t="n">
        <v>46013</v>
      </c>
      <c r="B357" t="n">
        <v>88490.0156</v>
      </c>
    </row>
    <row r="358">
      <c r="A358" s="9" t="n">
        <v>46014</v>
      </c>
      <c r="B358" t="n">
        <v>87414</v>
      </c>
    </row>
    <row r="359">
      <c r="A359" s="9" t="n">
        <v>46015</v>
      </c>
      <c r="B359" t="n">
        <v>87611.96090000001</v>
      </c>
    </row>
    <row r="360">
      <c r="A360" s="9" t="n">
        <v>46016</v>
      </c>
      <c r="B360" t="n">
        <v>87234.74219999999</v>
      </c>
    </row>
    <row r="361">
      <c r="A361" s="9" t="n">
        <v>46017</v>
      </c>
      <c r="B361" t="n">
        <v>87301.42969999999</v>
      </c>
    </row>
    <row r="362">
      <c r="A362" s="9" t="n">
        <v>46018</v>
      </c>
      <c r="B362" t="n">
        <v>87802.1562</v>
      </c>
    </row>
    <row r="363">
      <c r="A363" s="9" t="n">
        <v>46019</v>
      </c>
      <c r="B363" t="n">
        <v>87835.83590000001</v>
      </c>
    </row>
    <row r="364">
      <c r="A364" s="9" t="n">
        <v>46020</v>
      </c>
      <c r="B364" t="n">
        <v>87138.1406</v>
      </c>
    </row>
    <row r="365">
      <c r="A365" s="9" t="n">
        <v>46021</v>
      </c>
      <c r="B365" t="n">
        <v>88430.13280000001</v>
      </c>
    </row>
    <row r="366">
      <c r="A366" s="9" t="n">
        <v>46022</v>
      </c>
      <c r="B366" t="n">
        <v>87508.8281</v>
      </c>
    </row>
    <row r="367">
      <c r="A367" s="9" t="n">
        <v>46023</v>
      </c>
      <c r="B367" t="n">
        <v>88731.9844</v>
      </c>
    </row>
    <row r="368">
      <c r="A368" s="9" t="n">
        <v>46024</v>
      </c>
      <c r="B368" t="n">
        <v>89944.69530000001</v>
      </c>
    </row>
    <row r="369">
      <c r="A369" s="9" t="n">
        <v>46025</v>
      </c>
      <c r="B369" t="n">
        <v>90603.1875</v>
      </c>
    </row>
    <row r="370">
      <c r="A370" s="9" t="n">
        <v>46026</v>
      </c>
      <c r="B370" t="n">
        <v>91413.49219999999</v>
      </c>
    </row>
    <row r="371">
      <c r="A371" s="9" t="n">
        <v>46027</v>
      </c>
      <c r="B371" t="n">
        <v>93882.55469999999</v>
      </c>
    </row>
    <row r="372">
      <c r="A372" s="9" t="n">
        <v>46028</v>
      </c>
      <c r="B372" t="n">
        <v>93729.0312</v>
      </c>
    </row>
    <row r="373">
      <c r="A373" s="9" t="n">
        <v>46029</v>
      </c>
      <c r="B373" t="n">
        <v>91308.05469999999</v>
      </c>
    </row>
    <row r="374">
      <c r="A374" s="9" t="n">
        <v>46030</v>
      </c>
      <c r="B374" t="n">
        <v>91027.125</v>
      </c>
    </row>
    <row r="375">
      <c r="A375" s="9" t="n">
        <v>46031</v>
      </c>
      <c r="B375" t="n">
        <v>90513.10159999999</v>
      </c>
    </row>
    <row r="376">
      <c r="A376" s="9" t="n">
        <v>46032</v>
      </c>
      <c r="B376" t="n">
        <v>90386.64840000001</v>
      </c>
    </row>
    <row r="377">
      <c r="A377" s="9" t="n">
        <v>46033</v>
      </c>
      <c r="B377" t="n">
        <v>90827.46090000001</v>
      </c>
    </row>
    <row r="378">
      <c r="A378" s="9" t="n">
        <v>46034</v>
      </c>
      <c r="B378" t="n">
        <v>91192.99219999999</v>
      </c>
    </row>
    <row r="379">
      <c r="A379" s="9" t="n">
        <v>46035</v>
      </c>
      <c r="B379" t="n">
        <v>95321.7812</v>
      </c>
    </row>
    <row r="380">
      <c r="A380" s="9" t="n">
        <v>46036</v>
      </c>
      <c r="B380" t="n">
        <v>96929.3281</v>
      </c>
    </row>
    <row r="381">
      <c r="A381" s="9" t="n">
        <v>46037</v>
      </c>
      <c r="B381" t="n">
        <v>95551.1875</v>
      </c>
    </row>
    <row r="382">
      <c r="A382" s="9" t="n">
        <v>46038</v>
      </c>
      <c r="B382" t="n">
        <v>95525.11719999999</v>
      </c>
    </row>
    <row r="383">
      <c r="A383" s="9" t="n">
        <v>46039</v>
      </c>
      <c r="B383" t="n">
        <v>95099.9219</v>
      </c>
    </row>
    <row r="384">
      <c r="A384" s="9" t="n">
        <v>46040</v>
      </c>
      <c r="B384" t="n">
        <v>93634.42969999999</v>
      </c>
    </row>
    <row r="385">
      <c r="A385" s="9" t="n">
        <v>46041</v>
      </c>
      <c r="B385" t="n">
        <v>92553.5938</v>
      </c>
    </row>
    <row r="386">
      <c r="A386" s="9" t="n">
        <v>46042</v>
      </c>
      <c r="B386" t="n">
        <v>88310.9062</v>
      </c>
    </row>
    <row r="387">
      <c r="A387" s="9" t="n">
        <v>46043</v>
      </c>
      <c r="B387" t="n">
        <v>89376.96090000001</v>
      </c>
    </row>
    <row r="388">
      <c r="A388" s="9" t="n">
        <v>46044</v>
      </c>
      <c r="B388" t="n">
        <v>89462.4531</v>
      </c>
    </row>
    <row r="389">
      <c r="A389" s="9" t="n">
        <v>46045</v>
      </c>
      <c r="B389" t="n">
        <v>89503.875</v>
      </c>
    </row>
    <row r="390">
      <c r="A390" s="9" t="n">
        <v>46046</v>
      </c>
      <c r="B390" t="n">
        <v>89110.7344</v>
      </c>
    </row>
    <row r="391">
      <c r="A391" s="9" t="n">
        <v>46047</v>
      </c>
      <c r="B391" t="n">
        <v>86572.2188</v>
      </c>
    </row>
    <row r="392">
      <c r="A392" s="9" t="n">
        <v>46048</v>
      </c>
      <c r="B392" t="n">
        <v>88267.1406</v>
      </c>
    </row>
    <row r="393">
      <c r="A393" s="9" t="n">
        <v>46049</v>
      </c>
      <c r="B393" t="n">
        <v>89102.57030000001</v>
      </c>
    </row>
    <row r="394">
      <c r="A394" s="9" t="n">
        <v>46050</v>
      </c>
      <c r="B394" t="n">
        <v>89184.57030000001</v>
      </c>
    </row>
    <row r="395">
      <c r="A395" s="9" t="n">
        <v>46051</v>
      </c>
      <c r="B395" t="n">
        <v>84561.58590000001</v>
      </c>
    </row>
    <row r="396">
      <c r="A396" s="9" t="n">
        <v>46052</v>
      </c>
      <c r="B396" t="n">
        <v>84128.6562</v>
      </c>
    </row>
    <row r="397">
      <c r="A397" s="9" t="n">
        <v>46053</v>
      </c>
      <c r="B397" t="n">
        <v>78621.11719999999</v>
      </c>
    </row>
    <row r="398">
      <c r="A398" s="9" t="n">
        <v>46054</v>
      </c>
      <c r="B398" t="n">
        <v>76974.44530000001</v>
      </c>
    </row>
    <row r="399">
      <c r="A399" s="9" t="n">
        <v>46055</v>
      </c>
      <c r="B399" t="n">
        <v>78688.7656</v>
      </c>
    </row>
    <row r="400">
      <c r="A400" s="9" t="n">
        <v>46056</v>
      </c>
      <c r="B400" t="n">
        <v>75633.5469</v>
      </c>
    </row>
    <row r="401">
      <c r="A401" s="9" t="n">
        <v>46057</v>
      </c>
      <c r="B401" t="n">
        <v>73019.7031</v>
      </c>
    </row>
    <row r="402">
      <c r="A402" s="9" t="n">
        <v>46058</v>
      </c>
      <c r="B402" t="n">
        <v>62702.0977</v>
      </c>
    </row>
    <row r="403">
      <c r="A403" s="9" t="n">
        <v>46059</v>
      </c>
      <c r="B403" t="n">
        <v>70555.3906</v>
      </c>
    </row>
    <row r="404">
      <c r="A404" s="9" t="n">
        <v>46060</v>
      </c>
      <c r="B404" t="n">
        <v>69281.9688</v>
      </c>
    </row>
    <row r="405">
      <c r="A405" s="9" t="n">
        <v>46061</v>
      </c>
      <c r="B405" t="n">
        <v>70264.72659999999</v>
      </c>
    </row>
    <row r="406">
      <c r="A406" s="9" t="n">
        <v>46062</v>
      </c>
      <c r="B406" t="n">
        <v>70120.7812</v>
      </c>
    </row>
    <row r="407">
      <c r="A407" s="9" t="n">
        <v>46063</v>
      </c>
      <c r="B407" t="n">
        <v>68793.96090000001</v>
      </c>
    </row>
    <row r="408">
      <c r="A408" s="9" t="n">
        <v>46064</v>
      </c>
      <c r="B408" t="n">
        <v>66991.9688</v>
      </c>
    </row>
    <row r="409">
      <c r="A409" s="9" t="n">
        <v>46065</v>
      </c>
      <c r="B409" t="n">
        <v>66221.8438</v>
      </c>
    </row>
    <row r="410">
      <c r="A410" s="9" t="n">
        <v>46066</v>
      </c>
      <c r="B410" t="n">
        <v>68857.8438</v>
      </c>
    </row>
    <row r="411">
      <c r="A411" s="9" t="n">
        <v>46067</v>
      </c>
      <c r="B411" t="n">
        <v>69767.625</v>
      </c>
    </row>
    <row r="412">
      <c r="A412" s="9" t="n">
        <v>46068</v>
      </c>
      <c r="B412" t="n">
        <v>68788.1875</v>
      </c>
    </row>
    <row r="413">
      <c r="A413" s="9" t="n">
        <v>46069</v>
      </c>
      <c r="B413" t="n">
        <v>68843.1562</v>
      </c>
    </row>
    <row r="414">
      <c r="A414" s="9" t="n">
        <v>46070</v>
      </c>
      <c r="B414" t="n">
        <v>67494.2188</v>
      </c>
    </row>
    <row r="415">
      <c r="A415" s="9" t="n">
        <v>46071</v>
      </c>
      <c r="B415" t="n">
        <v>66425.32030000001</v>
      </c>
    </row>
    <row r="416">
      <c r="A416" s="9" t="n">
        <v>46072</v>
      </c>
      <c r="B416" t="n">
        <v>66957.52340000001</v>
      </c>
    </row>
    <row r="417">
      <c r="A417" s="9" t="n">
        <v>46073</v>
      </c>
      <c r="B417" t="n">
        <v>68005.4219</v>
      </c>
    </row>
    <row r="418">
      <c r="A418" s="9" t="n">
        <v>46074</v>
      </c>
      <c r="B418" t="n">
        <v>68003.7656</v>
      </c>
    </row>
    <row r="419">
      <c r="A419" s="9" t="n">
        <v>46075</v>
      </c>
      <c r="B419" t="n">
        <v>67659.3906</v>
      </c>
    </row>
    <row r="420">
      <c r="A420" s="9" t="n">
        <v>46076</v>
      </c>
      <c r="B420" t="n">
        <v>64616.7383</v>
      </c>
    </row>
    <row r="421">
      <c r="A421" s="9" t="n">
        <v>46077</v>
      </c>
      <c r="B421" t="n">
        <v>64080.043</v>
      </c>
    </row>
    <row r="422">
      <c r="A422" s="9" t="n">
        <v>46078</v>
      </c>
      <c r="B422" t="n">
        <v>67960.125</v>
      </c>
    </row>
    <row r="423">
      <c r="A423" s="9" t="n">
        <v>46079</v>
      </c>
      <c r="B423" t="n">
        <v>67453.77340000001</v>
      </c>
    </row>
    <row r="424">
      <c r="A424" s="9" t="n">
        <v>46080</v>
      </c>
      <c r="B424" t="n">
        <v>65881.7969</v>
      </c>
    </row>
    <row r="425">
      <c r="A425" s="9" t="n">
        <v>46081</v>
      </c>
      <c r="B425" t="n">
        <v>66995.8594</v>
      </c>
    </row>
    <row r="426">
      <c r="A426" s="9" t="n">
        <v>46082</v>
      </c>
      <c r="B426" t="n">
        <v>65738.10159999999</v>
      </c>
    </row>
    <row r="427">
      <c r="A427" s="9" t="n">
        <v>46083</v>
      </c>
      <c r="B427" t="n">
        <v>68775.85159999999</v>
      </c>
    </row>
    <row r="428">
      <c r="A428" s="9" t="n">
        <v>46084</v>
      </c>
      <c r="B428" t="n">
        <v>68293.64840000001</v>
      </c>
    </row>
    <row r="429">
      <c r="A429" s="9" t="n">
        <v>46085</v>
      </c>
      <c r="B429" t="n">
        <v>72710.5781</v>
      </c>
    </row>
    <row r="430">
      <c r="A430" s="9" t="n">
        <v>46086</v>
      </c>
      <c r="B430" t="n">
        <v>70841.125</v>
      </c>
    </row>
    <row r="431">
      <c r="A431" s="9" t="n">
        <v>46087</v>
      </c>
      <c r="B431" t="n">
        <v>68136.49219999999</v>
      </c>
    </row>
    <row r="432">
      <c r="A432" s="9" t="n">
        <v>46088</v>
      </c>
      <c r="B432" t="n">
        <v>67272.5938</v>
      </c>
    </row>
    <row r="433">
      <c r="A433" s="9" t="n">
        <v>46089</v>
      </c>
      <c r="B433" t="n">
        <v>65969.7812</v>
      </c>
    </row>
    <row r="434">
      <c r="A434" s="9" t="n">
        <v>46090</v>
      </c>
      <c r="B434" t="n">
        <v>68402.38280000001</v>
      </c>
    </row>
    <row r="435">
      <c r="A435" s="9" t="n">
        <v>46091</v>
      </c>
      <c r="B435" t="n">
        <v>69926.9219</v>
      </c>
    </row>
    <row r="436">
      <c r="A436" s="9" t="n">
        <v>46092</v>
      </c>
      <c r="B436" t="n">
        <v>70204.88280000001</v>
      </c>
    </row>
    <row r="437">
      <c r="A437" s="9" t="n">
        <v>46093</v>
      </c>
      <c r="B437" t="n">
        <v>70493.46090000001</v>
      </c>
    </row>
    <row r="438">
      <c r="A438" s="9" t="n">
        <v>46094</v>
      </c>
      <c r="B438" t="n">
        <v>70968.2656</v>
      </c>
    </row>
    <row r="439">
      <c r="A439" s="9" t="n">
        <v>46095</v>
      </c>
      <c r="B439" t="n">
        <v>71214.625</v>
      </c>
    </row>
    <row r="440">
      <c r="A440" s="9" t="n">
        <v>46096</v>
      </c>
      <c r="B440" t="n">
        <v>72789.91409999999</v>
      </c>
    </row>
    <row r="441">
      <c r="A441" s="9" t="n">
        <v>46097</v>
      </c>
      <c r="B441" t="n">
        <v>74861.08590000001</v>
      </c>
    </row>
    <row r="442">
      <c r="A442" s="9" t="n">
        <v>46098</v>
      </c>
      <c r="B442" t="n">
        <v>73922.47659999999</v>
      </c>
    </row>
    <row r="443">
      <c r="A443" s="9" t="n">
        <v>46099</v>
      </c>
      <c r="B443" t="n">
        <v>71245.5781</v>
      </c>
    </row>
    <row r="444">
      <c r="A444" s="9" t="n">
        <v>46100</v>
      </c>
      <c r="B444" t="n">
        <v>69912.78909999999</v>
      </c>
    </row>
    <row r="445">
      <c r="A445" s="9" t="n">
        <v>46101</v>
      </c>
      <c r="B445" t="n">
        <v>70522.58590000001</v>
      </c>
    </row>
    <row r="446">
      <c r="A446" s="9" t="n">
        <v>46102</v>
      </c>
      <c r="B446" t="n">
        <v>68711.52340000001</v>
      </c>
    </row>
    <row r="447">
      <c r="A447" s="9" t="n">
        <v>46103</v>
      </c>
      <c r="B447" t="n">
        <v>67845.21090000001</v>
      </c>
    </row>
    <row r="448">
      <c r="A448" s="9" t="n">
        <v>46104</v>
      </c>
      <c r="B448" t="n">
        <v>70914.8594</v>
      </c>
    </row>
    <row r="449">
      <c r="A449" s="9" t="n">
        <v>46105</v>
      </c>
      <c r="B449" t="n">
        <v>70517.8594</v>
      </c>
    </row>
    <row r="450">
      <c r="A450" s="9" t="n">
        <v>46106</v>
      </c>
      <c r="B450" t="n">
        <v>71309.88280000001</v>
      </c>
    </row>
    <row r="451">
      <c r="A451" s="9" t="n">
        <v>46107</v>
      </c>
      <c r="B451" t="n">
        <v>68791.625</v>
      </c>
    </row>
    <row r="452">
      <c r="A452" s="9" t="n">
        <v>46108</v>
      </c>
      <c r="B452" t="n">
        <v>66338.375</v>
      </c>
    </row>
    <row r="453">
      <c r="A453" s="9" t="n">
        <v>46109</v>
      </c>
      <c r="B453" t="n">
        <v>66319.69530000001</v>
      </c>
    </row>
    <row r="454">
      <c r="A454" s="9" t="n">
        <v>46110</v>
      </c>
      <c r="B454" t="n">
        <v>65954.9219</v>
      </c>
    </row>
    <row r="455">
      <c r="A455" s="9" t="n">
        <v>46111</v>
      </c>
      <c r="B455" t="n">
        <v>66691.44530000001</v>
      </c>
    </row>
    <row r="456">
      <c r="A456" s="9" t="n">
        <v>46112</v>
      </c>
      <c r="B456" t="n">
        <v>68233.3125</v>
      </c>
    </row>
    <row r="457">
      <c r="A457" s="9" t="n">
        <v>46113</v>
      </c>
      <c r="B457" t="n">
        <v>68078.55469999999</v>
      </c>
    </row>
    <row r="458">
      <c r="A458" s="9" t="n">
        <v>46114</v>
      </c>
      <c r="B458" t="n">
        <v>66888.57030000001</v>
      </c>
    </row>
    <row r="459">
      <c r="A459" s="9" t="n">
        <v>46115</v>
      </c>
      <c r="B459" t="n">
        <v>66931.10159999999</v>
      </c>
    </row>
    <row r="460">
      <c r="A460" s="9" t="n">
        <v>46116</v>
      </c>
      <c r="B460" t="n">
        <v>67290.5156</v>
      </c>
    </row>
    <row r="461">
      <c r="A461" s="9" t="n">
        <v>46117</v>
      </c>
      <c r="B461" t="n">
        <v>68981.89840000001</v>
      </c>
    </row>
    <row r="462">
      <c r="A462" s="9" t="n">
        <v>46118</v>
      </c>
      <c r="B462" t="n">
        <v>68859.8281</v>
      </c>
    </row>
    <row r="463">
      <c r="A463" s="9" t="n">
        <v>46119</v>
      </c>
      <c r="B463" t="n">
        <v>71940.7031</v>
      </c>
    </row>
    <row r="464">
      <c r="A464" s="9" t="n">
        <v>46120</v>
      </c>
      <c r="B464" t="n">
        <v>71123.3594</v>
      </c>
    </row>
    <row r="465">
      <c r="A465" s="9" t="n">
        <v>46121</v>
      </c>
      <c r="B465" t="n">
        <v>71767.8281</v>
      </c>
    </row>
    <row r="466">
      <c r="A466" s="9" t="n">
        <v>46122</v>
      </c>
      <c r="B466" t="n">
        <v>72979.0469</v>
      </c>
    </row>
    <row r="467">
      <c r="A467" s="9" t="n">
        <v>46123</v>
      </c>
      <c r="B467" t="n">
        <v>73054.27340000001</v>
      </c>
    </row>
    <row r="468">
      <c r="A468" s="9" t="n">
        <v>46124</v>
      </c>
      <c r="B468" t="n">
        <v>70753.4062</v>
      </c>
    </row>
    <row r="469">
      <c r="A469" s="9" t="n">
        <v>46125</v>
      </c>
      <c r="B469" t="n">
        <v>74484.6406</v>
      </c>
    </row>
    <row r="470">
      <c r="A470" s="9" t="n">
        <v>46126</v>
      </c>
      <c r="B470" t="n">
        <v>74181.6094</v>
      </c>
    </row>
    <row r="471">
      <c r="A471" s="9" t="n">
        <v>46127</v>
      </c>
      <c r="B471" t="n">
        <v>74805.0781</v>
      </c>
    </row>
    <row r="472">
      <c r="A472" s="9" t="n">
        <v>46128</v>
      </c>
      <c r="B472" t="n">
        <v>75152.13280000001</v>
      </c>
    </row>
    <row r="473">
      <c r="A473" s="9" t="n">
        <v>46129</v>
      </c>
      <c r="B473" t="n">
        <v>77126.875</v>
      </c>
    </row>
    <row r="474">
      <c r="A474" s="9" t="n">
        <v>46130</v>
      </c>
      <c r="B474" t="n">
        <v>75726.21090000001</v>
      </c>
    </row>
    <row r="475">
      <c r="A475" s="9" t="n">
        <v>46131</v>
      </c>
      <c r="B475" t="n">
        <v>73856.35159999999</v>
      </c>
    </row>
    <row r="476">
      <c r="A476" s="9" t="n">
        <v>46132</v>
      </c>
      <c r="B476" t="n">
        <v>75872.52340000001</v>
      </c>
    </row>
    <row r="477">
      <c r="A477" s="9" t="n">
        <v>46133</v>
      </c>
      <c r="B477" t="n">
        <v>76352.77340000001</v>
      </c>
    </row>
    <row r="478">
      <c r="A478" s="9" t="n">
        <v>46134</v>
      </c>
      <c r="B478" t="n">
        <v>78203.10159999999</v>
      </c>
    </row>
    <row r="479">
      <c r="A479" s="9" t="n">
        <v>46135</v>
      </c>
      <c r="B479" t="n">
        <v>78268.9531</v>
      </c>
    </row>
    <row r="480">
      <c r="A480" s="9" t="n">
        <v>46136</v>
      </c>
      <c r="B480" t="n">
        <v>77455.3125</v>
      </c>
    </row>
    <row r="481">
      <c r="A481" s="9" t="n">
        <v>46137</v>
      </c>
      <c r="B481" t="n">
        <v>77612.0156</v>
      </c>
    </row>
    <row r="482">
      <c r="A482" s="9" t="n">
        <v>46138</v>
      </c>
      <c r="B482" t="n">
        <v>78657.53909999999</v>
      </c>
    </row>
    <row r="483">
      <c r="A483" s="9" t="n">
        <v>46139</v>
      </c>
      <c r="B483" t="n">
        <v>77366.625</v>
      </c>
    </row>
    <row r="484">
      <c r="A484" s="9" t="n">
        <v>46140</v>
      </c>
      <c r="B484" t="n">
        <v>76350.6719</v>
      </c>
    </row>
    <row r="485">
      <c r="A485" s="9" t="n">
        <v>46141</v>
      </c>
      <c r="B485" t="n">
        <v>75776.13280000001</v>
      </c>
    </row>
    <row r="486">
      <c r="A486" s="9" t="n">
        <v>46142</v>
      </c>
      <c r="B486" t="n">
        <v>76304.32030000001</v>
      </c>
    </row>
    <row r="487">
      <c r="A487" s="9" t="n">
        <v>46143</v>
      </c>
      <c r="B487" t="n">
        <v>78179</v>
      </c>
    </row>
    <row r="488">
      <c r="A488" s="9" t="n">
        <v>46144</v>
      </c>
      <c r="B488" t="n">
        <v>78657.25</v>
      </c>
    </row>
    <row r="489">
      <c r="A489" s="9" t="n">
        <v>46145</v>
      </c>
      <c r="B489" t="n">
        <v>78538.22659999999</v>
      </c>
    </row>
    <row r="490">
      <c r="A490" s="9" t="n">
        <v>46146</v>
      </c>
      <c r="B490" t="n">
        <v>79827.9062</v>
      </c>
    </row>
    <row r="491">
      <c r="A491" s="9" t="n">
        <v>46147</v>
      </c>
      <c r="B491" t="n">
        <v>80927.05469999999</v>
      </c>
    </row>
    <row r="492">
      <c r="A492" s="9" t="n">
        <v>46148</v>
      </c>
      <c r="B492" t="n">
        <v>81427.5312</v>
      </c>
    </row>
    <row r="493">
      <c r="A493" s="9" t="n">
        <v>46149</v>
      </c>
      <c r="B493" t="n">
        <v>80009.99219999999</v>
      </c>
    </row>
    <row r="494">
      <c r="A494" s="9" t="n">
        <v>46150</v>
      </c>
      <c r="B494" t="n">
        <v>80186.7656</v>
      </c>
    </row>
    <row r="495">
      <c r="A495" s="9" t="n">
        <v>46151</v>
      </c>
      <c r="B495" t="n">
        <v>80664.36719999999</v>
      </c>
    </row>
    <row r="496">
      <c r="A496" s="9" t="n">
        <v>46152</v>
      </c>
      <c r="B496" t="n">
        <v>82138.92969999999</v>
      </c>
    </row>
    <row r="497">
      <c r="A497" s="9" t="n">
        <v>46153</v>
      </c>
      <c r="B497" t="n">
        <v>81728.2969</v>
      </c>
    </row>
    <row r="498">
      <c r="A498" s="9" t="n">
        <v>46154</v>
      </c>
      <c r="B498" t="n">
        <v>80477.49219999999</v>
      </c>
    </row>
    <row r="499">
      <c r="A499" s="9" t="n">
        <v>46155</v>
      </c>
      <c r="B499" t="n">
        <v>79277.11719999999</v>
      </c>
    </row>
    <row r="500">
      <c r="A500" s="9" t="n">
        <v>46156</v>
      </c>
      <c r="B500" t="n">
        <v>81051.25</v>
      </c>
    </row>
    <row r="501">
      <c r="A501" s="9" t="n">
        <v>46157</v>
      </c>
      <c r="B501" t="n">
        <v>79065.67969999999</v>
      </c>
    </row>
    <row r="502">
      <c r="A502" s="9" t="n">
        <v>46158</v>
      </c>
      <c r="B502" t="n">
        <v>78131.4375</v>
      </c>
    </row>
    <row r="503">
      <c r="A503" s="9" t="n">
        <v>46159</v>
      </c>
      <c r="B503" t="n">
        <v>77429.35159999999</v>
      </c>
    </row>
    <row r="504">
      <c r="A504" s="9" t="n">
        <v>46160</v>
      </c>
      <c r="B504" t="n">
        <v>76954.1719</v>
      </c>
    </row>
    <row r="505">
      <c r="A505" s="9" t="n">
        <v>46161</v>
      </c>
      <c r="B505" t="n">
        <v>76750.9062</v>
      </c>
    </row>
    <row r="506">
      <c r="A506" s="9" t="n">
        <v>46162</v>
      </c>
      <c r="B506" t="n">
        <v>77457.77340000001</v>
      </c>
    </row>
    <row r="507">
      <c r="A507" s="9" t="n">
        <v>46163</v>
      </c>
      <c r="B507" t="n">
        <v>77539.1719</v>
      </c>
    </row>
    <row r="508">
      <c r="A508" s="9" t="n">
        <v>46164</v>
      </c>
      <c r="B508" t="n">
        <v>75488.24219999999</v>
      </c>
    </row>
    <row r="509">
      <c r="A509" s="9" t="n">
        <v>46165</v>
      </c>
      <c r="B509" t="n">
        <v>76673.36719999999</v>
      </c>
    </row>
    <row r="510">
      <c r="A510" s="9" t="n">
        <v>46166</v>
      </c>
      <c r="B510" t="n">
        <v>76981.125</v>
      </c>
    </row>
    <row r="511">
      <c r="A511" s="9" t="n">
        <v>46167</v>
      </c>
      <c r="B511" t="n">
        <v>77279.92969999999</v>
      </c>
    </row>
    <row r="512">
      <c r="A512" s="9" t="n">
        <v>46168</v>
      </c>
      <c r="B512" t="n">
        <v>75825.7344</v>
      </c>
    </row>
    <row r="513">
      <c r="A513" s="9" t="n">
        <v>46169</v>
      </c>
      <c r="B513" t="n">
        <v>74344.7031</v>
      </c>
    </row>
    <row r="514">
      <c r="A514" s="9" t="n">
        <v>46170</v>
      </c>
      <c r="B514" t="n">
        <v>73536.55469999999</v>
      </c>
    </row>
    <row r="515">
      <c r="A515" s="9" t="n">
        <v>46171</v>
      </c>
      <c r="B515" t="n">
        <v>73372.52340000001</v>
      </c>
    </row>
    <row r="516">
      <c r="A516" s="9" t="n">
        <v>46172</v>
      </c>
      <c r="B516" t="n">
        <v>73754.83590000001</v>
      </c>
    </row>
    <row r="517">
      <c r="A517" s="9" t="n">
        <v>46173</v>
      </c>
      <c r="B517" t="n">
        <v>73579.6875</v>
      </c>
    </row>
    <row r="518">
      <c r="A518" s="9" t="n">
        <v>46174</v>
      </c>
      <c r="B518" t="n">
        <v>71319.77340000001</v>
      </c>
    </row>
    <row r="519">
      <c r="A519" s="9" t="n">
        <v>46175</v>
      </c>
      <c r="B519" t="n">
        <v>66703.6562</v>
      </c>
    </row>
    <row r="520">
      <c r="A520" s="9" t="n">
        <v>46176</v>
      </c>
      <c r="B520" t="n">
        <v>64014.3672</v>
      </c>
    </row>
    <row r="521">
      <c r="A521" s="9" t="n">
        <v>46177</v>
      </c>
      <c r="B521" t="n">
        <v>63801.5742</v>
      </c>
    </row>
    <row r="522">
      <c r="A522" s="9" t="n">
        <v>46178</v>
      </c>
      <c r="B522" t="n">
        <v>60922.668</v>
      </c>
    </row>
    <row r="523">
      <c r="A523" s="9" t="n">
        <v>46179</v>
      </c>
      <c r="B523" t="n">
        <v>60867.4141</v>
      </c>
    </row>
    <row r="524">
      <c r="A524" s="9" t="n">
        <v>46180</v>
      </c>
      <c r="B524" t="n">
        <v>63239.5195</v>
      </c>
    </row>
    <row r="525">
      <c r="A525" s="9" t="n">
        <v>46181</v>
      </c>
      <c r="B525" t="n">
        <v>63090.5898</v>
      </c>
    </row>
    <row r="526">
      <c r="A526" s="9" t="n">
        <v>46182</v>
      </c>
      <c r="B526" t="n">
        <v>61643.7812</v>
      </c>
    </row>
    <row r="527">
      <c r="A527" s="9" t="n">
        <v>46183</v>
      </c>
      <c r="B527" t="n">
        <v>61449.2891</v>
      </c>
    </row>
    <row r="528">
      <c r="A528" s="9" t="n">
        <v>46184</v>
      </c>
      <c r="B528" t="n">
        <v>63561.0547</v>
      </c>
    </row>
    <row r="529">
      <c r="A529" s="9" t="n">
        <v>46185</v>
      </c>
      <c r="B529" t="n">
        <v>63543.1992</v>
      </c>
    </row>
    <row r="530">
      <c r="A530" s="9" t="n">
        <v>46186</v>
      </c>
      <c r="B530" t="n">
        <v>64421.3242</v>
      </c>
    </row>
    <row r="531">
      <c r="A531" s="9" t="n">
        <v>46187</v>
      </c>
      <c r="B531" t="n">
        <v>65710.39840000001</v>
      </c>
    </row>
    <row r="532">
      <c r="A532" s="9" t="n">
        <v>46188</v>
      </c>
      <c r="B532" t="n">
        <v>66289.5</v>
      </c>
    </row>
    <row r="533">
      <c r="A533" s="9" t="n">
        <v>46189</v>
      </c>
      <c r="B533" t="n">
        <v>65600.6406</v>
      </c>
    </row>
    <row r="534">
      <c r="A534" s="9" t="n">
        <v>46190</v>
      </c>
      <c r="B534" t="n">
        <v>64418.4453</v>
      </c>
    </row>
    <row r="535">
      <c r="A535" s="9" t="n">
        <v>46191</v>
      </c>
      <c r="B535" t="n">
        <v>62896.4727</v>
      </c>
    </row>
    <row r="536">
      <c r="A536" s="9" t="n">
        <v>46192</v>
      </c>
      <c r="B536" t="n">
        <v>63540.8359</v>
      </c>
    </row>
    <row r="537">
      <c r="A537" s="9" t="n">
        <v>46193</v>
      </c>
      <c r="B537" t="n">
        <v>64239.6758</v>
      </c>
    </row>
    <row r="538">
      <c r="A538" s="9" t="n">
        <v>46194</v>
      </c>
      <c r="B538" t="n">
        <v>63237.5391</v>
      </c>
    </row>
    <row r="539">
      <c r="A539" s="9" t="n">
        <v>46195</v>
      </c>
      <c r="B539" t="n">
        <v>63952.1055</v>
      </c>
    </row>
    <row r="540">
      <c r="A540" s="9" t="n">
        <v>46196</v>
      </c>
      <c r="B540" t="n">
        <v>62668.0195</v>
      </c>
    </row>
    <row r="541">
      <c r="A541" s="9" t="n">
        <v>46197</v>
      </c>
      <c r="B541" t="n">
        <v>60995.1328</v>
      </c>
    </row>
    <row r="542">
      <c r="A542" s="9" t="n">
        <v>46198</v>
      </c>
      <c r="B542" t="n">
        <v>59721.6758</v>
      </c>
    </row>
    <row r="543">
      <c r="A543" s="9" t="n">
        <v>46199</v>
      </c>
      <c r="B543" t="n">
        <v>60016.4297</v>
      </c>
    </row>
    <row r="544">
      <c r="A544" s="9" t="n">
        <v>46200</v>
      </c>
      <c r="B544" t="n">
        <v>59940.0977</v>
      </c>
    </row>
    <row r="545">
      <c r="A545" s="9" t="n">
        <v>46201</v>
      </c>
      <c r="B545" t="n">
        <v>59532.3398</v>
      </c>
    </row>
    <row r="546">
      <c r="A546" s="9" t="n">
        <v>46202</v>
      </c>
      <c r="B546" t="n">
        <v>60138.3789</v>
      </c>
    </row>
    <row r="547">
      <c r="A547" s="9" t="n">
        <v>46203</v>
      </c>
      <c r="B547" t="n">
        <v>58558.8594</v>
      </c>
    </row>
    <row r="548">
      <c r="A548" s="9" t="n">
        <v>46204</v>
      </c>
      <c r="B548" t="n">
        <v>60003.7578</v>
      </c>
    </row>
    <row r="549">
      <c r="A549" s="9" t="n">
        <v>46205</v>
      </c>
      <c r="B549" t="n">
        <v>61485.3008</v>
      </c>
    </row>
    <row r="550">
      <c r="A550" s="9" t="n">
        <v>46206</v>
      </c>
      <c r="B550" t="n">
        <v>62544.1992</v>
      </c>
    </row>
    <row r="551">
      <c r="A551" s="9" t="n">
        <v>46207</v>
      </c>
      <c r="B551" t="n">
        <v>63088.3047</v>
      </c>
    </row>
    <row r="552">
      <c r="A552" s="9" t="n">
        <v>46208</v>
      </c>
      <c r="B552" t="n">
        <v>63547.8828</v>
      </c>
    </row>
    <row r="553">
      <c r="A553" s="9" t="n">
        <v>46209</v>
      </c>
      <c r="B553" t="n">
        <v>63995.0156</v>
      </c>
    </row>
    <row r="554">
      <c r="A554" s="9" t="n">
        <v>46210</v>
      </c>
      <c r="B554" t="n">
        <v>63297.3945</v>
      </c>
    </row>
    <row r="555">
      <c r="A555" s="9" t="n">
        <v>46211</v>
      </c>
      <c r="B555" t="n">
        <v>62257.5742</v>
      </c>
    </row>
    <row r="556">
      <c r="A556" s="9" t="n">
        <v>46212</v>
      </c>
      <c r="B556" t="n">
        <v>63193.1484</v>
      </c>
    </row>
    <row r="557">
      <c r="A557" s="9" t="n">
        <v>46213</v>
      </c>
      <c r="B557" t="n">
        <v>64127.1406</v>
      </c>
    </row>
    <row r="558">
      <c r="A558" s="9" t="n">
        <v>46214</v>
      </c>
      <c r="B558" t="n">
        <v>63802.0273</v>
      </c>
    </row>
    <row r="559">
      <c r="A559" s="9" t="n">
        <v>46215</v>
      </c>
      <c r="B559" t="n">
        <v>63758.2188</v>
      </c>
    </row>
    <row r="560">
      <c r="A560" s="9" t="n">
        <v>46216</v>
      </c>
      <c r="B560" t="n">
        <v>62239.1211</v>
      </c>
    </row>
    <row r="561">
      <c r="A561" s="9" t="n">
        <v>46217</v>
      </c>
      <c r="B561" t="n">
        <v>64956.1133</v>
      </c>
    </row>
    <row r="562">
      <c r="A562" s="9" t="n">
        <v>46218</v>
      </c>
      <c r="B562" t="n">
        <v>64712.375</v>
      </c>
    </row>
    <row r="563">
      <c r="A563" s="9" t="n">
        <v>46219</v>
      </c>
      <c r="B563" t="n">
        <v>63789.2812</v>
      </c>
    </row>
    <row r="564">
      <c r="A564" s="9" t="n">
        <v>46220</v>
      </c>
      <c r="B564" t="n">
        <v>63899.4609</v>
      </c>
    </row>
    <row r="565">
      <c r="A565" s="9" t="n">
        <v>46221</v>
      </c>
      <c r="B565" t="n">
        <v>64796.6016</v>
      </c>
    </row>
    <row r="566">
      <c r="A566" s="9" t="n">
        <v>46222</v>
      </c>
      <c r="B566" t="n">
        <v>64690.8047</v>
      </c>
    </row>
    <row r="567">
      <c r="A567" s="9" t="n">
        <v>46223</v>
      </c>
      <c r="B567" t="n">
        <v>65230.0273</v>
      </c>
    </row>
    <row r="568">
      <c r="A568" s="9" t="n">
        <v>46224</v>
      </c>
      <c r="B568" t="n">
        <v>66505.125</v>
      </c>
    </row>
    <row r="569">
      <c r="A569" s="9" t="n">
        <v>46225</v>
      </c>
      <c r="B569" t="n">
        <v>66100.7969</v>
      </c>
    </row>
    <row r="570">
      <c r="A570" s="9" t="n">
        <v>46226</v>
      </c>
      <c r="B570" t="n">
        <v>65044.8125</v>
      </c>
    </row>
    <row r="571">
      <c r="A571" s="9" t="n">
        <v>46227</v>
      </c>
      <c r="B571" t="n">
        <v>64098.4961</v>
      </c>
    </row>
    <row r="572">
      <c r="A572" s="9" t="n">
        <v>46228</v>
      </c>
      <c r="B572" t="n">
        <v>64311.8125</v>
      </c>
    </row>
    <row r="573">
      <c r="A573" s="9" t="n">
        <v>46229</v>
      </c>
      <c r="B573" t="n">
        <v>65340.3008</v>
      </c>
    </row>
    <row r="574">
      <c r="A574" s="9" t="n">
        <v>46230</v>
      </c>
      <c r="B574" t="n">
        <v>63724.8984</v>
      </c>
    </row>
    <row r="575">
      <c r="A575" s="9" t="n">
        <v>46231</v>
      </c>
      <c r="B575" t="n">
        <v>63871.3633</v>
      </c>
    </row>
    <row r="576">
      <c r="A576" s="9" t="n">
        <v>46232</v>
      </c>
      <c r="B576" t="n">
        <v>63908.168</v>
      </c>
    </row>
    <row r="577">
      <c r="A577" s="9" t="n">
        <v>46233</v>
      </c>
      <c r="B577" t="n">
        <v>64725.3086</v>
      </c>
    </row>
    <row r="578">
      <c r="A578" s="9" t="n">
        <v>46234</v>
      </c>
      <c r="B578" t="n">
        <v>62813.7461</v>
      </c>
    </row>
    <row r="579">
      <c r="A579" s="9" t="n">
        <v>46235</v>
      </c>
      <c r="B579" t="n">
        <v>62763.3203</v>
      </c>
    </row>
    <row r="580">
      <c r="A580" s="9" t="n">
        <v>46236</v>
      </c>
      <c r="B580" t="n">
        <v>63482</v>
      </c>
    </row>
    <row r="581">
      <c r="A581" s="9" t="n">
        <v>46237</v>
      </c>
      <c r="B581" t="n">
        <v>63460.8984</v>
      </c>
    </row>
    <row r="582">
      <c r="A582" s="9" t="n">
        <v>46238</v>
      </c>
      <c r="B582" t="n">
        <v>64055.9531</v>
      </c>
    </row>
    <row r="583">
      <c r="A583" s="9" t="n">
        <v>46239</v>
      </c>
      <c r="B583" t="n">
        <v>64597.5</v>
      </c>
    </row>
    <row r="584">
      <c r="A584" s="9" t="n">
        <v>46240</v>
      </c>
      <c r="B584" t="n">
        <v>64262.1133</v>
      </c>
    </row>
    <row r="585">
      <c r="A585" s="9" t="n">
        <v>46241</v>
      </c>
      <c r="B585" t="n">
        <v>64880.1914</v>
      </c>
    </row>
    <row r="586">
      <c r="A586" s="9" t="n">
        <v>46242</v>
      </c>
      <c r="B586" t="n">
        <v>64904.6875</v>
      </c>
    </row>
    <row r="587">
      <c r="A587" s="9" t="n">
        <v>46243</v>
      </c>
      <c r="B587" t="n">
        <v>64844.8867</v>
      </c>
    </row>
    <row r="588">
      <c r="A588" s="9" t="n">
        <v>46244</v>
      </c>
      <c r="B588" t="n">
        <v>63910.5859</v>
      </c>
    </row>
    <row r="589">
      <c r="A589" s="9" t="n">
        <v>46245</v>
      </c>
      <c r="B589" t="n">
        <v>63551.875</v>
      </c>
    </row>
    <row r="590">
      <c r="A590" s="9" t="n">
        <v>46246</v>
      </c>
      <c r="B590" t="n">
        <v>63402.4336</v>
      </c>
    </row>
    <row r="591">
      <c r="A591" s="9" t="n">
        <v>46247</v>
      </c>
      <c r="B591" t="n">
        <v>63402.1719</v>
      </c>
    </row>
    <row r="592">
      <c r="A592" s="9" t="n">
        <v>46248</v>
      </c>
      <c r="B592" t="n">
        <v>62975.5938</v>
      </c>
    </row>
    <row r="593">
      <c r="A593" s="9" t="n">
        <v>46249</v>
      </c>
      <c r="B593" t="n">
        <v>63024.3203</v>
      </c>
    </row>
    <row r="594">
      <c r="A594" s="9" t="n">
        <v>46250</v>
      </c>
      <c r="B594" t="n">
        <v>62818.6523</v>
      </c>
    </row>
    <row r="595">
      <c r="A595" s="9" t="n">
        <v>46251</v>
      </c>
      <c r="B595" t="n">
        <v>64506.2539</v>
      </c>
    </row>
    <row r="596">
      <c r="A596" s="9" t="n">
        <v>46252</v>
      </c>
      <c r="B596" t="n">
        <v>64680.7109</v>
      </c>
    </row>
    <row r="597">
      <c r="A597" s="9" t="n">
        <v>46253</v>
      </c>
      <c r="B597" t="n">
        <v>69266.1875</v>
      </c>
    </row>
    <row r="598">
      <c r="A598" s="9" t="n">
        <v>46254</v>
      </c>
      <c r="B598" t="n">
        <v>73032.75780000001</v>
      </c>
    </row>
    <row r="599">
      <c r="A599" s="9" t="n">
        <v>46255</v>
      </c>
      <c r="B599" t="n">
        <v>78335.1875</v>
      </c>
    </row>
    <row r="600">
      <c r="A600" s="9" t="n">
        <v>46256</v>
      </c>
      <c r="B600" t="n">
        <v>77083.41409999999</v>
      </c>
    </row>
    <row r="601">
      <c r="A601" s="9" t="n">
        <v>46257</v>
      </c>
      <c r="B601" t="n">
        <v>77755.2656</v>
      </c>
    </row>
    <row r="602">
      <c r="A602" s="9" t="n">
        <v>46258</v>
      </c>
      <c r="B602" t="n">
        <v>78964.4844</v>
      </c>
    </row>
    <row r="603">
      <c r="A603" s="9" t="n">
        <v>46259</v>
      </c>
      <c r="B603" t="n">
        <v>78564.97659999999</v>
      </c>
    </row>
    <row r="604">
      <c r="A604" s="9" t="n">
        <v>46260</v>
      </c>
      <c r="B604" t="n">
        <v>79027.4219</v>
      </c>
    </row>
    <row r="605">
      <c r="A605" s="9" t="n">
        <v>46261</v>
      </c>
      <c r="B605" t="n">
        <v>80257.53909999999</v>
      </c>
    </row>
    <row r="606">
      <c r="A606" s="9" t="n">
        <v>46262</v>
      </c>
      <c r="B606" t="n">
        <v>77830.28909999999</v>
      </c>
    </row>
    <row r="607">
      <c r="A607" s="9" t="n">
        <v>46263</v>
      </c>
      <c r="B607" t="n">
        <v>78245.8125</v>
      </c>
    </row>
    <row r="608">
      <c r="A608" s="9" t="n">
        <v>46264</v>
      </c>
      <c r="B608" t="n">
        <v>77667.57030000001</v>
      </c>
    </row>
    <row r="609">
      <c r="A609" s="9" t="n">
        <v>46265</v>
      </c>
      <c r="B609" t="n">
        <v>78548.63280000001</v>
      </c>
    </row>
    <row r="610">
      <c r="A610" s="9" t="n">
        <v>46266</v>
      </c>
      <c r="B610" t="n">
        <v>77403.625</v>
      </c>
    </row>
    <row r="611">
      <c r="A611" s="9" t="n">
        <v>46267</v>
      </c>
      <c r="B611" t="n">
        <v>77300.47659999999</v>
      </c>
    </row>
    <row r="612">
      <c r="A612" s="9" t="n">
        <v>46268</v>
      </c>
      <c r="B612" t="n">
        <v>81271.74219999999</v>
      </c>
    </row>
    <row r="613">
      <c r="A613" s="9" t="n">
        <v>46269</v>
      </c>
      <c r="B613" t="n">
        <v>79671.9688</v>
      </c>
    </row>
    <row r="614">
      <c r="A614" s="9" t="n">
        <v>46270</v>
      </c>
      <c r="B614" t="n">
        <v>79823.86719999999</v>
      </c>
    </row>
    <row r="615">
      <c r="A615" s="9" t="n">
        <v>46271</v>
      </c>
      <c r="B615" t="n">
        <v>80350.0469</v>
      </c>
    </row>
    <row r="616">
      <c r="A616" s="9" t="n">
        <v>46272</v>
      </c>
      <c r="B616" t="n">
        <v>79115.85159999999</v>
      </c>
    </row>
    <row r="617">
      <c r="A617" s="9" t="n">
        <v>46273</v>
      </c>
      <c r="B617" t="n">
        <v>78438.5781</v>
      </c>
    </row>
    <row r="618">
      <c r="A618" s="9" t="n">
        <v>46274</v>
      </c>
      <c r="B618" t="n">
        <v>78259.52340000001</v>
      </c>
    </row>
    <row r="619">
      <c r="A619" s="9" t="n">
        <v>46275</v>
      </c>
      <c r="B619" t="n">
        <v>76568.125</v>
      </c>
    </row>
    <row r="620">
      <c r="A620" s="9" t="n">
        <v>46276</v>
      </c>
      <c r="B620" t="n">
        <v>77173.7969</v>
      </c>
    </row>
    <row r="621">
      <c r="A621" s="9" t="n">
        <v>46277</v>
      </c>
      <c r="B621" t="n">
        <v>77270.4688</v>
      </c>
    </row>
    <row r="622">
      <c r="A622" s="9" t="n">
        <v>46278</v>
      </c>
      <c r="B622" t="n">
        <v>76838.1562</v>
      </c>
    </row>
    <row r="623">
      <c r="A623" s="9" t="n">
        <v>46279</v>
      </c>
      <c r="B623" t="n">
        <v>78163.38280000001</v>
      </c>
    </row>
    <row r="624">
      <c r="A624" s="9" t="n">
        <v>46280</v>
      </c>
      <c r="B624" t="n">
        <v>75612.50780000001</v>
      </c>
    </row>
    <row r="625">
      <c r="A625" s="9" t="n">
        <v>46281</v>
      </c>
      <c r="B625" t="n">
        <v>76150.32030000001</v>
      </c>
    </row>
    <row r="626">
      <c r="A626" s="9" t="n">
        <v>46282</v>
      </c>
      <c r="B626" t="n">
        <v>76403.77340000001</v>
      </c>
    </row>
    <row r="627">
      <c r="A627" s="9" t="n">
        <v>46283</v>
      </c>
      <c r="B627" t="n">
        <v>80901.46090000001</v>
      </c>
    </row>
    <row r="628">
      <c r="A628" s="9" t="n">
        <v>46284</v>
      </c>
      <c r="B628" t="n">
        <v>81233.67969999999</v>
      </c>
    </row>
    <row r="629">
      <c r="A629" s="9" t="n">
        <v>46285</v>
      </c>
      <c r="B629" t="n">
        <v>81142.6094</v>
      </c>
    </row>
    <row r="630">
      <c r="A630" s="9" t="n">
        <v>46286</v>
      </c>
      <c r="B630" t="n">
        <v>86602.91409999999</v>
      </c>
    </row>
    <row r="631">
      <c r="A631" s="9" t="n">
        <v>46287</v>
      </c>
      <c r="B631" t="n">
        <v>86172.2812</v>
      </c>
    </row>
    <row r="632">
      <c r="A632" s="9" t="n">
        <v>46288</v>
      </c>
      <c r="B632" t="n">
        <v>84383.00780000001</v>
      </c>
    </row>
    <row r="633">
      <c r="A633" s="9" t="n">
        <v>46289</v>
      </c>
      <c r="B633" t="n">
        <v>84379.0625</v>
      </c>
    </row>
    <row r="634">
      <c r="A634" s="9" t="n">
        <v>46290</v>
      </c>
      <c r="B634" t="n">
        <v>84034.9219</v>
      </c>
    </row>
    <row r="635">
      <c r="A635" s="9" t="n">
        <v>46291</v>
      </c>
      <c r="B635" t="n">
        <v>84406.4531</v>
      </c>
    </row>
    <row r="636">
      <c r="A636" s="9" t="n">
        <v>46292</v>
      </c>
      <c r="B636" t="n">
        <v>84458.08590000001</v>
      </c>
    </row>
    <row r="637">
      <c r="A637" s="9" t="n">
        <v>46293</v>
      </c>
      <c r="B637" t="n">
        <v>83502.6094</v>
      </c>
    </row>
    <row r="638">
      <c r="A638" s="9" t="n">
        <v>46294</v>
      </c>
      <c r="B638" t="n">
        <v>83622.42969999999</v>
      </c>
    </row>
    <row r="639">
      <c r="A639" s="9" t="n">
        <v>46295</v>
      </c>
      <c r="B639" t="n">
        <v>83553.85159999999</v>
      </c>
    </row>
    <row r="640">
      <c r="A640" s="9" t="n">
        <v>46296</v>
      </c>
      <c r="B640" t="n">
        <v>84853.10159999999</v>
      </c>
    </row>
    <row r="641">
      <c r="A641" s="9" t="n">
        <v>46297</v>
      </c>
      <c r="B641" t="n">
        <v>84497.21090000001</v>
      </c>
    </row>
    <row r="642">
      <c r="A642" s="9" t="n">
        <v>46298</v>
      </c>
      <c r="B642" t="n">
        <v>84763.5781</v>
      </c>
    </row>
    <row r="643">
      <c r="A643" s="9" t="n">
        <v>46299</v>
      </c>
      <c r="B643" t="n">
        <v>86480.30469999999</v>
      </c>
    </row>
    <row r="644">
      <c r="A644" s="9" t="n">
        <v>46300</v>
      </c>
      <c r="B644" t="n">
        <v>85786.5938</v>
      </c>
    </row>
    <row r="645">
      <c r="A645" s="9" t="n">
        <v>46301</v>
      </c>
      <c r="B645" t="n">
        <v>85557.5625</v>
      </c>
    </row>
    <row r="646">
      <c r="A646" s="9" t="n">
        <v>46302</v>
      </c>
      <c r="B646" t="n">
        <v>83275.92969999999</v>
      </c>
    </row>
    <row r="647">
      <c r="A647" s="9" t="n">
        <v>46303</v>
      </c>
      <c r="B647" t="n">
        <v>81676.33590000001</v>
      </c>
    </row>
    <row r="648">
      <c r="A648" s="9" t="n">
        <v>46304</v>
      </c>
      <c r="B648" t="n">
        <v>82546.32030000001</v>
      </c>
    </row>
    <row r="649">
      <c r="A649" s="9" t="n">
        <v>46305</v>
      </c>
      <c r="B649" t="n">
        <v>82912.22659999999</v>
      </c>
    </row>
    <row r="650">
      <c r="A650" s="9" t="n">
        <v>46306</v>
      </c>
      <c r="B650" t="n">
        <v>83679.4688</v>
      </c>
    </row>
    <row r="651">
      <c r="A651" s="9" t="n">
        <v>46307</v>
      </c>
      <c r="B651" t="n">
        <v>81762.5625</v>
      </c>
    </row>
    <row r="652">
      <c r="A652" s="9" t="n">
        <v>46308</v>
      </c>
      <c r="B652" t="n">
        <v>83095.125</v>
      </c>
    </row>
    <row r="653">
      <c r="A653" s="9" t="n">
        <v>46309</v>
      </c>
      <c r="B653" t="n">
        <v>81562.49219999999</v>
      </c>
    </row>
    <row r="654">
      <c r="A654" s="9" t="n">
        <v>46310</v>
      </c>
      <c r="B654" t="n">
        <v>82141.46090000001</v>
      </c>
    </row>
    <row r="655">
      <c r="A655" s="9" t="n">
        <v>46311</v>
      </c>
      <c r="B655" t="n">
        <v>81500.80469999999</v>
      </c>
    </row>
    <row r="656">
      <c r="A656" s="9" t="n">
        <v>46312</v>
      </c>
      <c r="B656" t="n">
        <v>81382.14840000001</v>
      </c>
    </row>
    <row r="657">
      <c r="A657" s="9" t="n">
        <v>46313</v>
      </c>
      <c r="B657" t="n">
        <v>82017.60159999999</v>
      </c>
    </row>
    <row r="658">
      <c r="A658" s="9" t="n">
        <v>46314</v>
      </c>
      <c r="B658" t="n">
        <v>81853.53909999999</v>
      </c>
    </row>
    <row r="659">
      <c r="A659" s="9" t="n">
        <v>46315</v>
      </c>
      <c r="B659" t="n">
        <v>82941</v>
      </c>
    </row>
    <row r="660">
      <c r="A660" s="9" t="n">
        <v>46316</v>
      </c>
      <c r="B660" t="n">
        <v>84011.9688</v>
      </c>
    </row>
    <row r="661">
      <c r="A661" s="9" t="n">
        <v>46317</v>
      </c>
      <c r="B661" t="n">
        <v>81311.8906</v>
      </c>
    </row>
    <row r="662">
      <c r="A662" s="9" t="n">
        <v>46318</v>
      </c>
      <c r="B662" t="n">
        <v>81074.1875</v>
      </c>
    </row>
    <row r="663">
      <c r="A663" s="9" t="n">
        <v>46319</v>
      </c>
      <c r="B663" t="n">
        <v>80790.83590000001</v>
      </c>
    </row>
    <row r="664">
      <c r="A664" s="9" t="n">
        <v>46320</v>
      </c>
      <c r="B664" t="n">
        <v>80024.00780000001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2026-10-28T08:59:49Z</dcterms:created>
  <dcterms:modified xmlns:dcterms="http://purl.org/dc/terms/" xmlns:xsi="http://www.w3.org/2001/XMLSchema-instance" xsi:type="dcterms:W3CDTF">2026-10-28T08:59:49Z</dcterms:modified>
</cp:coreProperties>
</file>